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riya\OneDrive\Desktop\data analytics\excel\Mini Project 3-20260305T075904Z-3-001\Mini Project 3\"/>
    </mc:Choice>
  </mc:AlternateContent>
  <xr:revisionPtr revIDLastSave="0" documentId="13_ncr:1_{EDC9B1FB-6955-48D7-898D-CC880F54030D}" xr6:coauthVersionLast="47" xr6:coauthVersionMax="47" xr10:uidLastSave="{00000000-0000-0000-0000-000000000000}"/>
  <bookViews>
    <workbookView xWindow="-108" yWindow="-108" windowWidth="23256" windowHeight="12456" firstSheet="6" activeTab="8" xr2:uid="{00000000-000D-0000-FFFF-FFFF00000000}"/>
  </bookViews>
  <sheets>
    <sheet name="Sheet1" sheetId="12" r:id="rId1"/>
    <sheet name="Sheet2" sheetId="13" r:id="rId2"/>
    <sheet name="Sheet3" sheetId="14" r:id="rId3"/>
    <sheet name="Sheet4" sheetId="15" r:id="rId4"/>
    <sheet name="Sheet6" sheetId="17" r:id="rId5"/>
    <sheet name="sales by region" sheetId="18" r:id="rId6"/>
    <sheet name="sale by product catagory" sheetId="19" r:id="rId7"/>
    <sheet name="order by delivery status" sheetId="20" r:id="rId8"/>
    <sheet name="Sheet12" sheetId="23" r:id="rId9"/>
    <sheet name="Sheet14" sheetId="25" r:id="rId10"/>
    <sheet name="Sheet15" sheetId="26" r:id="rId11"/>
    <sheet name="Sheet16" sheetId="27" r:id="rId12"/>
    <sheet name="Sheet17" sheetId="28" r:id="rId13"/>
    <sheet name="Orders" sheetId="3" r:id="rId14"/>
    <sheet name="Product Master" sheetId="4" r:id="rId15"/>
    <sheet name="Region Master" sheetId="5" r:id="rId16"/>
    <sheet name="Customer Master" sheetId="6" r:id="rId17"/>
  </sheets>
  <definedNames>
    <definedName name="_xlnm._FilterDatabase" localSheetId="13" hidden="1">Orders!$A$1:$Q$101</definedName>
    <definedName name="Slicer_Payment_Method">#N/A</definedName>
    <definedName name="Slicer_Product_Category">#N/A</definedName>
    <definedName name="Slicer_Region">#N/A</definedName>
  </definedNames>
  <calcPr calcId="191029"/>
  <pivotCaches>
    <pivotCache cacheId="25" r:id="rId18"/>
    <pivotCache cacheId="42" r:id="rId19"/>
  </pivotCaches>
  <extLs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 i="28" l="1"/>
  <c r="W20" i="23" s="1"/>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2" i="3"/>
  <c r="E6" i="15"/>
  <c r="E7" i="15"/>
  <c r="E8" i="15"/>
  <c r="E9" i="15"/>
  <c r="E10" i="15"/>
  <c r="E5" i="15"/>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2" i="3"/>
</calcChain>
</file>

<file path=xl/sharedStrings.xml><?xml version="1.0" encoding="utf-8"?>
<sst xmlns="http://schemas.openxmlformats.org/spreadsheetml/2006/main" count="1153" uniqueCount="326">
  <si>
    <t>Product ID</t>
  </si>
  <si>
    <t>Region</t>
  </si>
  <si>
    <t>Sale Price/Unit</t>
  </si>
  <si>
    <t>Quantity</t>
  </si>
  <si>
    <t>Total Amount</t>
  </si>
  <si>
    <t>Payment Method</t>
  </si>
  <si>
    <t>Delivery Status</t>
  </si>
  <si>
    <t>Fulfillment Partner</t>
  </si>
  <si>
    <t>Order Date</t>
  </si>
  <si>
    <t>Delivery Date</t>
  </si>
  <si>
    <t>Cancel Date</t>
  </si>
  <si>
    <t>PROD012</t>
  </si>
  <si>
    <t>North</t>
  </si>
  <si>
    <t>Apple Pay</t>
  </si>
  <si>
    <t>Cancelled</t>
  </si>
  <si>
    <t>DHL</t>
  </si>
  <si>
    <t>PROD018</t>
  </si>
  <si>
    <t>East</t>
  </si>
  <si>
    <t>Credit Card</t>
  </si>
  <si>
    <t>Delivered</t>
  </si>
  <si>
    <t>PROD013</t>
  </si>
  <si>
    <t>South</t>
  </si>
  <si>
    <t>In Transit</t>
  </si>
  <si>
    <t>USPS</t>
  </si>
  <si>
    <t>PayPal</t>
  </si>
  <si>
    <t>UPS</t>
  </si>
  <si>
    <t>PROD010</t>
  </si>
  <si>
    <t>Amazon Logistics</t>
  </si>
  <si>
    <t>Amazon Pay</t>
  </si>
  <si>
    <t>PROD020</t>
  </si>
  <si>
    <t>Central</t>
  </si>
  <si>
    <t>Debit Card</t>
  </si>
  <si>
    <t>PROD021</t>
  </si>
  <si>
    <t>West</t>
  </si>
  <si>
    <t>PROD019</t>
  </si>
  <si>
    <t>PROD003</t>
  </si>
  <si>
    <t>PROD014</t>
  </si>
  <si>
    <t>FedEx</t>
  </si>
  <si>
    <t>PROD006</t>
  </si>
  <si>
    <t>PROD017</t>
  </si>
  <si>
    <t>PROD005</t>
  </si>
  <si>
    <t>PROD015</t>
  </si>
  <si>
    <t>PROD008</t>
  </si>
  <si>
    <t>PROD001</t>
  </si>
  <si>
    <t>PROD002</t>
  </si>
  <si>
    <t>PROD022</t>
  </si>
  <si>
    <t>PROD009</t>
  </si>
  <si>
    <t>PROD011</t>
  </si>
  <si>
    <t>PROD016</t>
  </si>
  <si>
    <t>PROD007</t>
  </si>
  <si>
    <t>PROD004</t>
  </si>
  <si>
    <t>Order ID</t>
  </si>
  <si>
    <t>Customer ID</t>
  </si>
  <si>
    <t>Product Name</t>
  </si>
  <si>
    <t>ORD0001</t>
  </si>
  <si>
    <t>CUST021</t>
  </si>
  <si>
    <t>ORD0002</t>
  </si>
  <si>
    <t>CUST029</t>
  </si>
  <si>
    <t>ORD0003</t>
  </si>
  <si>
    <t>ORD0004</t>
  </si>
  <si>
    <t>CUST044</t>
  </si>
  <si>
    <t>ORD0005</t>
  </si>
  <si>
    <t>CUST027</t>
  </si>
  <si>
    <t>ORD0006</t>
  </si>
  <si>
    <t>CUST009</t>
  </si>
  <si>
    <t>ORD0007</t>
  </si>
  <si>
    <t>CUST042</t>
  </si>
  <si>
    <t>ORD0008</t>
  </si>
  <si>
    <t>CUST019</t>
  </si>
  <si>
    <t>ORD0009</t>
  </si>
  <si>
    <t>CUST013</t>
  </si>
  <si>
    <t>ORD0010</t>
  </si>
  <si>
    <t>ORD0011</t>
  </si>
  <si>
    <t>CUST046</t>
  </si>
  <si>
    <t>ORD0012</t>
  </si>
  <si>
    <t>CUST045</t>
  </si>
  <si>
    <t>ORD0013</t>
  </si>
  <si>
    <t>CUST023</t>
  </si>
  <si>
    <t>ORD0014</t>
  </si>
  <si>
    <t>CUST033</t>
  </si>
  <si>
    <t>ORD0015</t>
  </si>
  <si>
    <t>ORD0016</t>
  </si>
  <si>
    <t>CUST047</t>
  </si>
  <si>
    <t>ORD0017</t>
  </si>
  <si>
    <t>ORD0018</t>
  </si>
  <si>
    <t>CUST011</t>
  </si>
  <si>
    <t>ORD0019</t>
  </si>
  <si>
    <t>CUST041</t>
  </si>
  <si>
    <t>ORD0020</t>
  </si>
  <si>
    <t>CUST025</t>
  </si>
  <si>
    <t>ORD0021</t>
  </si>
  <si>
    <t>ORD0022</t>
  </si>
  <si>
    <t>ORD0023</t>
  </si>
  <si>
    <t>CUST016</t>
  </si>
  <si>
    <t>ORD0024</t>
  </si>
  <si>
    <t>CUST028</t>
  </si>
  <si>
    <t>ORD0025</t>
  </si>
  <si>
    <t>CUST040</t>
  </si>
  <si>
    <t>ORD0026</t>
  </si>
  <si>
    <t>ORD0027</t>
  </si>
  <si>
    <t>CUST018</t>
  </si>
  <si>
    <t>ORD0028</t>
  </si>
  <si>
    <t>ORD0029</t>
  </si>
  <si>
    <t>CUST007</t>
  </si>
  <si>
    <t>ORD0030</t>
  </si>
  <si>
    <t>CUST008</t>
  </si>
  <si>
    <t>ORD0031</t>
  </si>
  <si>
    <t>CUST014</t>
  </si>
  <si>
    <t>ORD0032</t>
  </si>
  <si>
    <t>CUST037</t>
  </si>
  <si>
    <t>ORD0033</t>
  </si>
  <si>
    <t>ORD0034</t>
  </si>
  <si>
    <t>ORD0035</t>
  </si>
  <si>
    <t>CUST032</t>
  </si>
  <si>
    <t>ORD0036</t>
  </si>
  <si>
    <t>ORD0037</t>
  </si>
  <si>
    <t>ORD0038</t>
  </si>
  <si>
    <t>ORD0039</t>
  </si>
  <si>
    <t>CUST024</t>
  </si>
  <si>
    <t>ORD0040</t>
  </si>
  <si>
    <t>CUST006</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</si>
  <si>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</si>
  <si>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</si>
  <si>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</si>
  <si>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</si>
  <si>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</si>
  <si>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</si>
  <si>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</si>
  <si>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</si>
  <si>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</si>
  <si>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</si>
  <si>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</si>
  <si>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</si>
  <si>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</si>
  <si>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</si>
  <si>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</si>
  <si>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</si>
  <si>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</si>
  <si>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</si>
  <si>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</si>
  <si>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</si>
  <si>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</si>
  <si>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</si>
  <si>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</si>
  <si>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</si>
  <si>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</si>
  <si>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</si>
  <si>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</si>
  <si>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</si>
  <si>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</si>
  <si>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</si>
  <si>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</si>
  <si>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</si>
  <si>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</si>
  <si>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</si>
  <si>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</si>
  <si>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</si>
  <si>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</si>
  <si>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</si>
  <si>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</si>
  <si>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</si>
  <si>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</si>
  <si>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</si>
  <si>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</si>
  <si>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</si>
  <si>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</si>
  <si>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</si>
  <si>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</si>
  <si>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</si>
  <si>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</si>
  <si>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</si>
  <si>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</si>
  <si>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</si>
  <si>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</si>
  <si>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</si>
  <si>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</si>
  <si>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</si>
  <si>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</si>
  <si>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</si>
  <si>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</si>
  <si>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</si>
  <si>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</si>
  <si>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</si>
  <si>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</si>
  <si>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</si>
  <si>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</si>
  <si>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</si>
  <si>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</si>
  <si>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</si>
  <si>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</si>
  <si>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</si>
  <si>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</si>
  <si>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</si>
  <si>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</si>
  <si>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</si>
  <si>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</si>
  <si>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</si>
  <si>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</si>
  <si>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</si>
  <si>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</si>
  <si>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</si>
  <si>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</si>
  <si>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</si>
  <si>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</si>
  <si>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</si>
  <si>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</si>
  <si>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</si>
  <si>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</si>
  <si>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</si>
  <si>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</si>
  <si>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</si>
  <si>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</si>
  <si>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</si>
  <si>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</si>
  <si>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</si>
  <si>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</si>
  <si>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</si>
  <si>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</si>
  <si>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</si>
  <si>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</si>
  <si>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</si>
  <si>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</si>
  <si>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</si>
  <si>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</si>
  <si>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</si>
  <si>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</si>
  <si>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</si>
  <si>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</si>
  <si>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</si>
  <si>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</si>
  <si>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</si>
  <si>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</si>
  <si>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</si>
  <si>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</si>
  <si>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</si>
  <si>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</si>
  <si>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</si>
  <si>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</si>
  <si>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</si>
  <si>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</si>
  <si>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</si>
  <si>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</si>
  <si>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</si>
  <si>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</si>
  <si>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</si>
  <si>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</si>
  <si>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</si>
  <si>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</si>
  <si>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</si>
  <si>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</si>
  <si>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</si>
  <si>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</si>
  <si>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</si>
  <si>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</si>
  <si>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</si>
  <si>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</si>
  <si>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</si>
  <si>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</si>
  <si>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</si>
  <si>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</si>
  <si>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</si>
  <si>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</si>
  <si>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</si>
  <si>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</si>
  <si>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</si>
  <si>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</si>
  <si>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</si>
  <si>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</si>
  <si>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</si>
  <si>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</si>
  <si>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</si>
  <si>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</si>
  <si>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</si>
  <si>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</si>
  <si>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</si>
  <si>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</si>
  <si>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</si>
  <si>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</si>
  <si>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</si>
  <si>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</si>
  <si>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</si>
  <si>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</si>
  <si>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</si>
  <si>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</si>
  <si>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</si>
  <si>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</si>
  <si>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</si>
  <si>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</si>
  <si>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</si>
  <si>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</si>
  <si>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</si>
  <si>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</si>
  <si>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</si>
  <si>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</si>
  <si>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</si>
  <si>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</si>
  <si>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</si>
  <si>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</si>
  <si>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</si>
  <si>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</si>
  <si>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</si>
  <si>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</si>
  <si>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</si>
  <si>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</si>
  <si>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</si>
  <si>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</si>
  <si>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</si>
  <si>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</si>
  <si>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</si>
  <si>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</si>
  <si>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</si>
  <si>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Product Category</t>
  </si>
  <si>
    <t>Row Labels</t>
  </si>
  <si>
    <t>Grand Total</t>
  </si>
  <si>
    <t>Column Labels</t>
  </si>
  <si>
    <t>Sum of Total Amount</t>
  </si>
  <si>
    <t>Count of Order ID</t>
  </si>
  <si>
    <t>Delivery Performance</t>
  </si>
  <si>
    <t>Order Status</t>
  </si>
  <si>
    <t>Delivery Time</t>
  </si>
  <si>
    <t>Average of Delivery Time</t>
  </si>
  <si>
    <t>Cancellation Rate</t>
  </si>
  <si>
    <t>Effective Sales</t>
  </si>
  <si>
    <t>Sum of Effective Sales</t>
  </si>
  <si>
    <t>Fast</t>
  </si>
  <si>
    <t>Slow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</si>
</sst>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font>
    <font>
      <sz val="11"/>
      <color theme="1"/>
      <name val="Calibri"/>
      <family val="2"/>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thin">
        <color theme="4" tint="0.39997558519241921"/>
      </top>
      <bottom/>
      <diagonal/>
    </border>
  </borders>
  <cellStyleXfs count="2">
    <xf numFmtId="0" fontId="0" fillId="0" borderId="0"/>
    <xf numFmtId="9" fontId="3" fillId="0" borderId="0" applyFont="0" applyFill="0" applyBorder="0" applyAlignment="0" applyProtection="0"/>
  </cellStyleXfs>
  <cellXfs count="17">
    <xf numFmtId="0" fontId="0" fillId="0" borderId="0" xfId="0"/>
    <xf numFmtId="0" fontId="0" fillId="0" borderId="1" xfId="0" applyBorder="1"/>
    <xf numFmtId="14" fontId="0" fillId="0" borderId="1" xfId="0" applyNumberFormat="1" applyBorder="1"/>
    <xf numFmtId="14" fontId="0" fillId="0" borderId="2" xfId="0" applyNumberFormat="1" applyBorder="1"/>
    <xf numFmtId="0" fontId="1" fillId="0" borderId="3" xfId="0" applyFont="1" applyBorder="1" applyAlignment="1">
      <alignment horizontal="left" vertical="center"/>
    </xf>
    <xf numFmtId="0" fontId="1" fillId="0" borderId="3" xfId="0" applyFont="1" applyBorder="1" applyAlignment="1">
      <alignment horizontal="right" vertical="center"/>
    </xf>
    <xf numFmtId="0" fontId="0" fillId="0" borderId="0" xfId="0" applyAlignment="1"/>
    <xf numFmtId="0" fontId="2" fillId="0" borderId="3" xfId="0" applyFont="1" applyBorder="1" applyAlignment="1">
      <alignment horizontal="left" vertical="center"/>
    </xf>
    <xf numFmtId="0" fontId="2" fillId="0" borderId="3" xfId="0" applyFont="1" applyBorder="1" applyAlignment="1">
      <alignment horizontal="right" vertical="center"/>
    </xf>
    <xf numFmtId="3" fontId="2" fillId="0" borderId="3" xfId="0" applyNumberFormat="1" applyFont="1" applyBorder="1"/>
    <xf numFmtId="0" fontId="0" fillId="0" borderId="0" xfId="0" pivotButton="1"/>
    <xf numFmtId="0" fontId="0" fillId="0" borderId="0" xfId="0" applyAlignment="1">
      <alignment horizontal="left"/>
    </xf>
    <xf numFmtId="0" fontId="0" fillId="0" borderId="0" xfId="0" applyNumberFormat="1"/>
    <xf numFmtId="14" fontId="0" fillId="0" borderId="2" xfId="0" applyNumberFormat="1" applyFill="1" applyBorder="1"/>
    <xf numFmtId="10" fontId="0" fillId="0" borderId="0" xfId="1" applyNumberFormat="1" applyFont="1"/>
    <xf numFmtId="9" fontId="0" fillId="0" borderId="0" xfId="1" applyFont="1"/>
    <xf numFmtId="0" fontId="4" fillId="2" borderId="4" xfId="0" applyNumberFormat="1" applyFont="1" applyFill="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Dataset.xlsx]sales by region!PivotTable7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'sales by region'!$B$3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region'!$A$4:$A$5</c:f>
              <c:strCache>
                <c:ptCount val="1"/>
                <c:pt idx="0">
                  <c:v>Central</c:v>
                </c:pt>
              </c:strCache>
            </c:strRef>
          </c:cat>
          <c:val>
            <c:numRef>
              <c:f>'sales by region'!$B$4:$B$5</c:f>
              <c:numCache>
                <c:formatCode>General</c:formatCode>
                <c:ptCount val="1"/>
                <c:pt idx="0">
                  <c:v>5456</c:v>
                </c:pt>
              </c:numCache>
            </c:numRef>
          </c:val>
          <c:extLst>
            <c:ext xmlns:c16="http://schemas.microsoft.com/office/drawing/2014/chart" uri="{C3380CC4-5D6E-409C-BE32-E72D297353CC}">
              <c16:uniqueId val="{00000000-E580-4DA5-91E6-13875E67EE48}"/>
            </c:ext>
          </c:extLst>
        </c:ser>
        <c:dLbls>
          <c:showLegendKey val="0"/>
          <c:showVal val="1"/>
          <c:showCatName val="0"/>
          <c:showSerName val="0"/>
          <c:showPercent val="0"/>
          <c:showBubbleSize val="0"/>
        </c:dLbls>
        <c:gapWidth val="150"/>
        <c:shape val="box"/>
        <c:axId val="417716575"/>
        <c:axId val="235402159"/>
        <c:axId val="336213023"/>
      </c:bar3DChart>
      <c:catAx>
        <c:axId val="417716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402159"/>
        <c:crosses val="autoZero"/>
        <c:auto val="1"/>
        <c:lblAlgn val="ctr"/>
        <c:lblOffset val="100"/>
        <c:noMultiLvlLbl val="0"/>
      </c:catAx>
      <c:valAx>
        <c:axId val="23540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716575"/>
        <c:crosses val="autoZero"/>
        <c:crossBetween val="between"/>
      </c:valAx>
      <c:serAx>
        <c:axId val="33621302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402159"/>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Dataset.xlsx]sale by product catagory!PivotTable8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By Product Catagory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 by product catagory'!$B$3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cat>
            <c:strRef>
              <c:f>'sale by product catagory'!$A$4:$A$9</c:f>
              <c:strCache>
                <c:ptCount val="5"/>
                <c:pt idx="0">
                  <c:v>Books</c:v>
                </c:pt>
                <c:pt idx="1">
                  <c:v>Electronics</c:v>
                </c:pt>
                <c:pt idx="2">
                  <c:v>Fashion</c:v>
                </c:pt>
                <c:pt idx="3">
                  <c:v>Home</c:v>
                </c:pt>
                <c:pt idx="4">
                  <c:v>Toys</c:v>
                </c:pt>
              </c:strCache>
            </c:strRef>
          </c:cat>
          <c:val>
            <c:numRef>
              <c:f>'sale by product catagory'!$B$4:$B$9</c:f>
              <c:numCache>
                <c:formatCode>General</c:formatCode>
                <c:ptCount val="5"/>
                <c:pt idx="0">
                  <c:v>84</c:v>
                </c:pt>
                <c:pt idx="1">
                  <c:v>2662</c:v>
                </c:pt>
                <c:pt idx="2">
                  <c:v>210</c:v>
                </c:pt>
                <c:pt idx="3">
                  <c:v>2063</c:v>
                </c:pt>
                <c:pt idx="4">
                  <c:v>437</c:v>
                </c:pt>
              </c:numCache>
            </c:numRef>
          </c:val>
          <c:extLst>
            <c:ext xmlns:c16="http://schemas.microsoft.com/office/drawing/2014/chart" uri="{C3380CC4-5D6E-409C-BE32-E72D297353CC}">
              <c16:uniqueId val="{00000000-9AF4-4387-BF4D-DD141F53835C}"/>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Dataset.xlsx]order by delivery status!PivotTable9</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 By Delivery Status</a:t>
            </a:r>
          </a:p>
        </c:rich>
      </c:tx>
      <c:layout>
        <c:manualLayout>
          <c:xMode val="edge"/>
          <c:yMode val="edge"/>
          <c:x val="0.29969444444444437"/>
          <c:y val="5.45348498104403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'order by delivery status'!$B$3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'order by delivery status'!$A$4:$A$7</c:f>
              <c:strCache>
                <c:ptCount val="3"/>
                <c:pt idx="0">
                  <c:v>Cancelled</c:v>
                </c:pt>
                <c:pt idx="1">
                  <c:v>Delivered</c:v>
                </c:pt>
                <c:pt idx="2">
                  <c:v>In Transit</c:v>
                </c:pt>
              </c:strCache>
            </c:strRef>
          </c:cat>
          <c:val>
            <c:numRef>
              <c:f>'order by delivery status'!$B$4:$B$7</c:f>
              <c:numCache>
                <c:formatCode>General</c:formatCode>
                <c:ptCount val="3"/>
                <c:pt idx="0">
                  <c:v>5</c:v>
                </c:pt>
                <c:pt idx="1">
                  <c:v>5</c:v>
                </c:pt>
                <c:pt idx="2">
                  <c:v>4</c:v>
                </c:pt>
              </c:numCache>
            </c:numRef>
          </c:val>
          <c:extLst>
            <c:ext xmlns:c16="http://schemas.microsoft.com/office/drawing/2014/chart" uri="{C3380CC4-5D6E-409C-BE32-E72D297353CC}">
              <c16:uniqueId val="{00000000-BCA7-4ED7-ABA7-38B4080CD064}"/>
            </c:ext>
          </c:extLst>
        </c:ser>
        <c:dLbls>
          <c:showLegendKey val="0"/>
          <c:showVal val="0"/>
          <c:showCatName val="0"/>
          <c:showSerName val="0"/>
          <c:showPercent val="0"/>
          <c:showBubbleSize val="0"/>
        </c:dLbls>
        <c:gapWidth val="65"/>
        <c:shape val="box"/>
        <c:axId val="337948655"/>
        <c:axId val="337950095"/>
        <c:axId val="0"/>
      </c:bar3DChart>
      <c:catAx>
        <c:axId val="3379486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37950095"/>
        <c:crosses val="autoZero"/>
        <c:auto val="1"/>
        <c:lblAlgn val="ctr"/>
        <c:lblOffset val="100"/>
        <c:noMultiLvlLbl val="0"/>
      </c:catAx>
      <c:valAx>
        <c:axId val="337950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37948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Dataset.xlsx]sales by region!PivotTable7</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'sales by region'!$B$3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region'!$A$4:$A$5</c:f>
              <c:strCache>
                <c:ptCount val="1"/>
                <c:pt idx="0">
                  <c:v>Central</c:v>
                </c:pt>
              </c:strCache>
            </c:strRef>
          </c:cat>
          <c:val>
            <c:numRef>
              <c:f>'sales by region'!$B$4:$B$5</c:f>
              <c:numCache>
                <c:formatCode>General</c:formatCode>
                <c:ptCount val="1"/>
                <c:pt idx="0">
                  <c:v>5456</c:v>
                </c:pt>
              </c:numCache>
            </c:numRef>
          </c:val>
          <c:extLst>
            <c:ext xmlns:c16="http://schemas.microsoft.com/office/drawing/2014/chart" uri="{C3380CC4-5D6E-409C-BE32-E72D297353CC}">
              <c16:uniqueId val="{00000000-BA30-48A5-9328-17B332AD365C}"/>
            </c:ext>
          </c:extLst>
        </c:ser>
        <c:dLbls>
          <c:showLegendKey val="0"/>
          <c:showVal val="1"/>
          <c:showCatName val="0"/>
          <c:showSerName val="0"/>
          <c:showPercent val="0"/>
          <c:showBubbleSize val="0"/>
        </c:dLbls>
        <c:gapWidth val="150"/>
        <c:shape val="box"/>
        <c:axId val="417716575"/>
        <c:axId val="235402159"/>
        <c:axId val="336213023"/>
      </c:bar3DChart>
      <c:catAx>
        <c:axId val="417716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402159"/>
        <c:crosses val="autoZero"/>
        <c:auto val="1"/>
        <c:lblAlgn val="ctr"/>
        <c:lblOffset val="100"/>
        <c:noMultiLvlLbl val="0"/>
      </c:catAx>
      <c:valAx>
        <c:axId val="23540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716575"/>
        <c:crosses val="autoZero"/>
        <c:crossBetween val="between"/>
      </c:valAx>
      <c:serAx>
        <c:axId val="33621302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402159"/>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Dataset.xlsx]sale by product catagory!PivotTable8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By Product Catagory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14856481481481484"/>
          <c:w val="0.93888888888888888"/>
          <c:h val="0.77736111111111106"/>
        </c:manualLayout>
      </c:layout>
      <c:pie3DChart>
        <c:varyColors val="1"/>
        <c:ser>
          <c:idx val="0"/>
          <c:order val="0"/>
          <c:tx>
            <c:strRef>
              <c:f>'sale by product catagory'!$B$3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3E4-4C54-A575-BA60DEF5859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3E4-4C54-A575-BA60DEF5859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3E4-4C54-A575-BA60DEF5859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3E4-4C54-A575-BA60DEF5859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3E4-4C54-A575-BA60DEF5859C}"/>
              </c:ext>
            </c:extLst>
          </c:dPt>
          <c:cat>
            <c:strRef>
              <c:f>'sale by product catagory'!$A$4:$A$9</c:f>
              <c:strCache>
                <c:ptCount val="5"/>
                <c:pt idx="0">
                  <c:v>Books</c:v>
                </c:pt>
                <c:pt idx="1">
                  <c:v>Electronics</c:v>
                </c:pt>
                <c:pt idx="2">
                  <c:v>Fashion</c:v>
                </c:pt>
                <c:pt idx="3">
                  <c:v>Home</c:v>
                </c:pt>
                <c:pt idx="4">
                  <c:v>Toys</c:v>
                </c:pt>
              </c:strCache>
            </c:strRef>
          </c:cat>
          <c:val>
            <c:numRef>
              <c:f>'sale by product catagory'!$B$4:$B$9</c:f>
              <c:numCache>
                <c:formatCode>General</c:formatCode>
                <c:ptCount val="5"/>
                <c:pt idx="0">
                  <c:v>84</c:v>
                </c:pt>
                <c:pt idx="1">
                  <c:v>2662</c:v>
                </c:pt>
                <c:pt idx="2">
                  <c:v>210</c:v>
                </c:pt>
                <c:pt idx="3">
                  <c:v>2063</c:v>
                </c:pt>
                <c:pt idx="4">
                  <c:v>437</c:v>
                </c:pt>
              </c:numCache>
            </c:numRef>
          </c:val>
          <c:extLst>
            <c:ext xmlns:c16="http://schemas.microsoft.com/office/drawing/2014/chart" uri="{C3380CC4-5D6E-409C-BE32-E72D297353CC}">
              <c16:uniqueId val="{0000000A-13E4-4C54-A575-BA60DEF5859C}"/>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Dataset.xlsx]order by delivery status!PivotTable9</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 By Delivery Status</a:t>
            </a:r>
          </a:p>
        </c:rich>
      </c:tx>
      <c:layout>
        <c:manualLayout>
          <c:xMode val="edge"/>
          <c:yMode val="edge"/>
          <c:x val="0.29969444444444437"/>
          <c:y val="5.45348498104403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'order by delivery status'!$B$3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'order by delivery status'!$A$4:$A$7</c:f>
              <c:strCache>
                <c:ptCount val="3"/>
                <c:pt idx="0">
                  <c:v>Cancelled</c:v>
                </c:pt>
                <c:pt idx="1">
                  <c:v>Delivered</c:v>
                </c:pt>
                <c:pt idx="2">
                  <c:v>In Transit</c:v>
                </c:pt>
              </c:strCache>
            </c:strRef>
          </c:cat>
          <c:val>
            <c:numRef>
              <c:f>'order by delivery status'!$B$4:$B$7</c:f>
              <c:numCache>
                <c:formatCode>General</c:formatCode>
                <c:ptCount val="3"/>
                <c:pt idx="0">
                  <c:v>5</c:v>
                </c:pt>
                <c:pt idx="1">
                  <c:v>5</c:v>
                </c:pt>
                <c:pt idx="2">
                  <c:v>4</c:v>
                </c:pt>
              </c:numCache>
            </c:numRef>
          </c:val>
          <c:extLst>
            <c:ext xmlns:c16="http://schemas.microsoft.com/office/drawing/2014/chart" uri="{C3380CC4-5D6E-409C-BE32-E72D297353CC}">
              <c16:uniqueId val="{00000000-454E-4872-AE00-DAE62EB54422}"/>
            </c:ext>
          </c:extLst>
        </c:ser>
        <c:dLbls>
          <c:showLegendKey val="0"/>
          <c:showVal val="0"/>
          <c:showCatName val="0"/>
          <c:showSerName val="0"/>
          <c:showPercent val="0"/>
          <c:showBubbleSize val="0"/>
        </c:dLbls>
        <c:gapWidth val="65"/>
        <c:shape val="box"/>
        <c:axId val="337948655"/>
        <c:axId val="337950095"/>
        <c:axId val="0"/>
      </c:bar3DChart>
      <c:catAx>
        <c:axId val="3379486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37950095"/>
        <c:crosses val="autoZero"/>
        <c:auto val="1"/>
        <c:lblAlgn val="ctr"/>
        <c:lblOffset val="100"/>
        <c:noMultiLvlLbl val="0"/>
      </c:catAx>
      <c:valAx>
        <c:axId val="337950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37948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449580</xdr:colOff>
      <xdr:row>1</xdr:row>
      <xdr:rowOff>76200</xdr:rowOff>
    </xdr:from>
    <xdr:to>
      <xdr:col>11</xdr:col>
      <xdr:colOff>144780</xdr:colOff>
      <xdr:row>16</xdr:row>
      <xdr:rowOff>76200</xdr:rowOff>
    </xdr:to>
    <xdr:graphicFrame macro="">
      <xdr:nvGraphicFramePr>
        <xdr:cNvPr id="2" name="Chart 1">
          <a:extLst>
            <a:ext uri="{FF2B5EF4-FFF2-40B4-BE49-F238E27FC236}">
              <a16:creationId xmlns:a16="http://schemas.microsoft.com/office/drawing/2014/main" id="{21F6253E-80F5-13CC-AAF7-64BB43846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510540</xdr:colOff>
      <xdr:row>1</xdr:row>
      <xdr:rowOff>0</xdr:rowOff>
    </xdr:from>
    <xdr:to>
      <xdr:col>11</xdr:col>
      <xdr:colOff>205740</xdr:colOff>
      <xdr:row>16</xdr:row>
      <xdr:rowOff>0</xdr:rowOff>
    </xdr:to>
    <xdr:graphicFrame macro="">
      <xdr:nvGraphicFramePr>
        <xdr:cNvPr id="2" name="Chart 1">
          <a:extLst>
            <a:ext uri="{FF2B5EF4-FFF2-40B4-BE49-F238E27FC236}">
              <a16:creationId xmlns:a16="http://schemas.microsoft.com/office/drawing/2014/main" id="{23F5B950-C9D4-FA4B-038D-D23BAFFCCD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365760</xdr:colOff>
      <xdr:row>1</xdr:row>
      <xdr:rowOff>15240</xdr:rowOff>
    </xdr:from>
    <xdr:to>
      <xdr:col>11</xdr:col>
      <xdr:colOff>60960</xdr:colOff>
      <xdr:row>16</xdr:row>
      <xdr:rowOff>15240</xdr:rowOff>
    </xdr:to>
    <xdr:graphicFrame macro="">
      <xdr:nvGraphicFramePr>
        <xdr:cNvPr id="2" name="Chart 1">
          <a:extLst>
            <a:ext uri="{FF2B5EF4-FFF2-40B4-BE49-F238E27FC236}">
              <a16:creationId xmlns:a16="http://schemas.microsoft.com/office/drawing/2014/main" id="{A8CE8770-E67E-539E-886E-702D26D98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289560</xdr:colOff>
      <xdr:row>9</xdr:row>
      <xdr:rowOff>30480</xdr:rowOff>
    </xdr:to>
    <xdr:sp macro="" textlink="">
      <xdr:nvSpPr>
        <xdr:cNvPr id="2" name="TextBox 1">
          <a:extLst>
            <a:ext uri="{FF2B5EF4-FFF2-40B4-BE49-F238E27FC236}">
              <a16:creationId xmlns:a16="http://schemas.microsoft.com/office/drawing/2014/main" id="{10F01B0B-21DC-D0E3-CE31-986B1F051065}"/>
            </a:ext>
          </a:extLst>
        </xdr:cNvPr>
        <xdr:cNvSpPr txBox="1"/>
      </xdr:nvSpPr>
      <xdr:spPr>
        <a:xfrm>
          <a:off x="0" y="0"/>
          <a:ext cx="14310360" cy="167640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600">
              <a:solidFill>
                <a:schemeClr val="bg1"/>
              </a:solidFill>
            </a:rPr>
            <a:t>FINAL</a:t>
          </a:r>
          <a:r>
            <a:rPr lang="en-IN" sz="6600"/>
            <a:t> </a:t>
          </a:r>
          <a:r>
            <a:rPr lang="en-IN" sz="6600">
              <a:solidFill>
                <a:schemeClr val="bg1"/>
              </a:solidFill>
            </a:rPr>
            <a:t>DASHBOARD</a:t>
          </a:r>
        </a:p>
      </xdr:txBody>
    </xdr:sp>
    <xdr:clientData/>
  </xdr:twoCellAnchor>
  <xdr:twoCellAnchor>
    <xdr:from>
      <xdr:col>10</xdr:col>
      <xdr:colOff>396240</xdr:colOff>
      <xdr:row>12</xdr:row>
      <xdr:rowOff>114300</xdr:rowOff>
    </xdr:from>
    <xdr:to>
      <xdr:col>17</xdr:col>
      <xdr:colOff>205740</xdr:colOff>
      <xdr:row>27</xdr:row>
      <xdr:rowOff>60960</xdr:rowOff>
    </xdr:to>
    <xdr:graphicFrame macro="">
      <xdr:nvGraphicFramePr>
        <xdr:cNvPr id="3" name="Chart 2">
          <a:extLst>
            <a:ext uri="{FF2B5EF4-FFF2-40B4-BE49-F238E27FC236}">
              <a16:creationId xmlns:a16="http://schemas.microsoft.com/office/drawing/2014/main" id="{F1D543B3-5460-48D3-BA23-2981D3322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579120</xdr:colOff>
      <xdr:row>12</xdr:row>
      <xdr:rowOff>114300</xdr:rowOff>
    </xdr:from>
    <xdr:to>
      <xdr:col>10</xdr:col>
      <xdr:colOff>167640</xdr:colOff>
      <xdr:row>27</xdr:row>
      <xdr:rowOff>60960</xdr:rowOff>
    </xdr:to>
    <xdr:graphicFrame macro="">
      <xdr:nvGraphicFramePr>
        <xdr:cNvPr id="4" name="Chart 3">
          <a:extLst>
            <a:ext uri="{FF2B5EF4-FFF2-40B4-BE49-F238E27FC236}">
              <a16:creationId xmlns:a16="http://schemas.microsoft.com/office/drawing/2014/main" id="{0985ABD2-48DA-40E9-9171-7B1AA0EE6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137160</xdr:colOff>
      <xdr:row>27</xdr:row>
      <xdr:rowOff>144780</xdr:rowOff>
    </xdr:from>
    <xdr:to>
      <xdr:col>13</xdr:col>
      <xdr:colOff>441960</xdr:colOff>
      <xdr:row>42</xdr:row>
      <xdr:rowOff>144780</xdr:rowOff>
    </xdr:to>
    <xdr:graphicFrame macro="">
      <xdr:nvGraphicFramePr>
        <xdr:cNvPr id="6" name="Chart 5">
          <a:extLst>
            <a:ext uri="{FF2B5EF4-FFF2-40B4-BE49-F238E27FC236}">
              <a16:creationId xmlns:a16="http://schemas.microsoft.com/office/drawing/2014/main" id="{EC18ADB6-FFC7-41AB-B5CA-14E7293C1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586740</xdr:colOff>
      <xdr:row>13</xdr:row>
      <xdr:rowOff>68580</xdr:rowOff>
    </xdr:from>
    <xdr:to>
      <xdr:col>21</xdr:col>
      <xdr:colOff>152400</xdr:colOff>
      <xdr:row>18</xdr:row>
      <xdr:rowOff>99060</xdr:rowOff>
    </xdr:to>
    <xdr:sp macro="" textlink="">
      <xdr:nvSpPr>
        <xdr:cNvPr id="10" name="TextBox 9">
          <a:extLst>
            <a:ext uri="{FF2B5EF4-FFF2-40B4-BE49-F238E27FC236}">
              <a16:creationId xmlns:a16="http://schemas.microsoft.com/office/drawing/2014/main" id="{70DDC37F-5C05-99C8-5C6B-E44F66D2EFBB}"/>
            </a:ext>
          </a:extLst>
        </xdr:cNvPr>
        <xdr:cNvSpPr txBox="1"/>
      </xdr:nvSpPr>
      <xdr:spPr>
        <a:xfrm>
          <a:off x="10949940" y="2446020"/>
          <a:ext cx="2004060" cy="94488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chemeClr val="bg1"/>
              </a:solidFill>
            </a:rPr>
            <a:t>Total Revenue</a:t>
          </a:r>
        </a:p>
      </xdr:txBody>
    </xdr:sp>
    <xdr:clientData/>
  </xdr:twoCellAnchor>
  <xdr:twoCellAnchor>
    <xdr:from>
      <xdr:col>18</xdr:col>
      <xdr:colOff>129540</xdr:colOff>
      <xdr:row>15</xdr:row>
      <xdr:rowOff>68580</xdr:rowOff>
    </xdr:from>
    <xdr:to>
      <xdr:col>20</xdr:col>
      <xdr:colOff>579120</xdr:colOff>
      <xdr:row>17</xdr:row>
      <xdr:rowOff>106680</xdr:rowOff>
    </xdr:to>
    <xdr:sp macro="" textlink="W18">
      <xdr:nvSpPr>
        <xdr:cNvPr id="11" name="TextBox 10">
          <a:extLst>
            <a:ext uri="{FF2B5EF4-FFF2-40B4-BE49-F238E27FC236}">
              <a16:creationId xmlns:a16="http://schemas.microsoft.com/office/drawing/2014/main" id="{FDD3B37C-479F-22AE-106D-47A578C813AE}"/>
            </a:ext>
          </a:extLst>
        </xdr:cNvPr>
        <xdr:cNvSpPr txBox="1"/>
      </xdr:nvSpPr>
      <xdr:spPr>
        <a:xfrm>
          <a:off x="11102340" y="2811780"/>
          <a:ext cx="1668780" cy="40386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D8279B9-BE35-4051-85A5-79F48589CF9D}" type="TxLink">
            <a:rPr lang="en-US" sz="2400" b="1" i="0" u="none" strike="noStrike">
              <a:solidFill>
                <a:schemeClr val="bg1"/>
              </a:solidFill>
              <a:latin typeface="Calibri"/>
              <a:ea typeface="Calibri"/>
              <a:cs typeface="Calibri"/>
            </a:rPr>
            <a:t>5456</a:t>
          </a:fld>
          <a:endParaRPr lang="en-IN" sz="5400">
            <a:solidFill>
              <a:schemeClr val="bg1"/>
            </a:solidFill>
          </a:endParaRPr>
        </a:p>
      </xdr:txBody>
    </xdr:sp>
    <xdr:clientData/>
  </xdr:twoCellAnchor>
  <xdr:twoCellAnchor>
    <xdr:from>
      <xdr:col>17</xdr:col>
      <xdr:colOff>579120</xdr:colOff>
      <xdr:row>20</xdr:row>
      <xdr:rowOff>68580</xdr:rowOff>
    </xdr:from>
    <xdr:to>
      <xdr:col>21</xdr:col>
      <xdr:colOff>259080</xdr:colOff>
      <xdr:row>25</xdr:row>
      <xdr:rowOff>160020</xdr:rowOff>
    </xdr:to>
    <xdr:sp macro="" textlink="">
      <xdr:nvSpPr>
        <xdr:cNvPr id="13" name="TextBox 12">
          <a:extLst>
            <a:ext uri="{FF2B5EF4-FFF2-40B4-BE49-F238E27FC236}">
              <a16:creationId xmlns:a16="http://schemas.microsoft.com/office/drawing/2014/main" id="{407E01F4-7ED2-D70D-9B39-B70001CB6CB3}"/>
            </a:ext>
          </a:extLst>
        </xdr:cNvPr>
        <xdr:cNvSpPr txBox="1"/>
      </xdr:nvSpPr>
      <xdr:spPr>
        <a:xfrm>
          <a:off x="10942320" y="3726180"/>
          <a:ext cx="2118360" cy="100584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solidFill>
                <a:schemeClr val="bg1"/>
              </a:solidFill>
            </a:rPr>
            <a:t>Fast Delivery</a:t>
          </a:r>
          <a:r>
            <a:rPr lang="en-IN" sz="2400" baseline="0">
              <a:solidFill>
                <a:schemeClr val="bg1"/>
              </a:solidFill>
            </a:rPr>
            <a:t> %</a:t>
          </a:r>
          <a:endParaRPr lang="en-IN" sz="2400">
            <a:solidFill>
              <a:schemeClr val="bg1"/>
            </a:solidFill>
          </a:endParaRPr>
        </a:p>
      </xdr:txBody>
    </xdr:sp>
    <xdr:clientData/>
  </xdr:twoCellAnchor>
  <xdr:twoCellAnchor>
    <xdr:from>
      <xdr:col>18</xdr:col>
      <xdr:colOff>259080</xdr:colOff>
      <xdr:row>22</xdr:row>
      <xdr:rowOff>129540</xdr:rowOff>
    </xdr:from>
    <xdr:to>
      <xdr:col>20</xdr:col>
      <xdr:colOff>601980</xdr:colOff>
      <xdr:row>25</xdr:row>
      <xdr:rowOff>76200</xdr:rowOff>
    </xdr:to>
    <xdr:sp macro="" textlink="W20">
      <xdr:nvSpPr>
        <xdr:cNvPr id="14" name="TextBox 13">
          <a:extLst>
            <a:ext uri="{FF2B5EF4-FFF2-40B4-BE49-F238E27FC236}">
              <a16:creationId xmlns:a16="http://schemas.microsoft.com/office/drawing/2014/main" id="{1063F29E-6C11-7760-E8F5-55CBE4F671E9}"/>
            </a:ext>
          </a:extLst>
        </xdr:cNvPr>
        <xdr:cNvSpPr txBox="1"/>
      </xdr:nvSpPr>
      <xdr:spPr>
        <a:xfrm>
          <a:off x="11231880" y="4152900"/>
          <a:ext cx="1562100" cy="49530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FA2F604-CC76-4FC4-AA3C-0FF06D2A8876}" type="TxLink">
            <a:rPr lang="en-US" sz="2800" b="0" i="0" u="none" strike="noStrike">
              <a:solidFill>
                <a:schemeClr val="bg1"/>
              </a:solidFill>
              <a:latin typeface="Calibri"/>
              <a:ea typeface="Calibri"/>
              <a:cs typeface="Calibri"/>
            </a:rPr>
            <a:pPr algn="ctr"/>
            <a:t>7%</a:t>
          </a:fld>
          <a:endParaRPr lang="en-IN" sz="2800">
            <a:solidFill>
              <a:schemeClr val="bg1"/>
            </a:solidFill>
          </a:endParaRPr>
        </a:p>
      </xdr:txBody>
    </xdr:sp>
    <xdr:clientData/>
  </xdr:twoCellAnchor>
  <xdr:twoCellAnchor>
    <xdr:from>
      <xdr:col>15</xdr:col>
      <xdr:colOff>182880</xdr:colOff>
      <xdr:row>28</xdr:row>
      <xdr:rowOff>137160</xdr:rowOff>
    </xdr:from>
    <xdr:to>
      <xdr:col>18</xdr:col>
      <xdr:colOff>388620</xdr:colOff>
      <xdr:row>36</xdr:row>
      <xdr:rowOff>83820</xdr:rowOff>
    </xdr:to>
    <xdr:sp macro="" textlink="">
      <xdr:nvSpPr>
        <xdr:cNvPr id="15" name="TextBox 14">
          <a:extLst>
            <a:ext uri="{FF2B5EF4-FFF2-40B4-BE49-F238E27FC236}">
              <a16:creationId xmlns:a16="http://schemas.microsoft.com/office/drawing/2014/main" id="{6E76766D-62DA-85A8-C23D-B20C7E8AC8AA}"/>
            </a:ext>
          </a:extLst>
        </xdr:cNvPr>
        <xdr:cNvSpPr txBox="1"/>
      </xdr:nvSpPr>
      <xdr:spPr>
        <a:xfrm>
          <a:off x="9326880" y="5257800"/>
          <a:ext cx="2034540" cy="140970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solidFill>
                <a:schemeClr val="bg1"/>
              </a:solidFill>
            </a:rPr>
            <a:t>Top Region</a:t>
          </a:r>
        </a:p>
      </xdr:txBody>
    </xdr:sp>
    <xdr:clientData/>
  </xdr:twoCellAnchor>
  <xdr:twoCellAnchor>
    <xdr:from>
      <xdr:col>15</xdr:col>
      <xdr:colOff>525780</xdr:colOff>
      <xdr:row>31</xdr:row>
      <xdr:rowOff>99060</xdr:rowOff>
    </xdr:from>
    <xdr:to>
      <xdr:col>18</xdr:col>
      <xdr:colOff>22860</xdr:colOff>
      <xdr:row>34</xdr:row>
      <xdr:rowOff>60960</xdr:rowOff>
    </xdr:to>
    <xdr:sp macro="" textlink="W28">
      <xdr:nvSpPr>
        <xdr:cNvPr id="16" name="TextBox 15">
          <a:extLst>
            <a:ext uri="{FF2B5EF4-FFF2-40B4-BE49-F238E27FC236}">
              <a16:creationId xmlns:a16="http://schemas.microsoft.com/office/drawing/2014/main" id="{FCB8705D-A40B-51C1-D2DF-624CACB42874}"/>
            </a:ext>
          </a:extLst>
        </xdr:cNvPr>
        <xdr:cNvSpPr txBox="1"/>
      </xdr:nvSpPr>
      <xdr:spPr>
        <a:xfrm>
          <a:off x="9669780" y="5768340"/>
          <a:ext cx="1325880" cy="51054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C937F5B-72D6-4600-B667-8945F1E62EF3}" type="TxLink">
            <a:rPr lang="en-US" sz="3200" b="0" i="0" u="none" strike="noStrike">
              <a:solidFill>
                <a:schemeClr val="bg1"/>
              </a:solidFill>
              <a:latin typeface="Calibri"/>
              <a:ea typeface="Calibri"/>
              <a:cs typeface="Calibri"/>
            </a:rPr>
            <a:pPr algn="ctr"/>
            <a:t>North</a:t>
          </a:fld>
          <a:endParaRPr lang="en-IN" sz="3200">
            <a:solidFill>
              <a:schemeClr val="bg1"/>
            </a:solidFill>
          </a:endParaRPr>
        </a:p>
      </xdr:txBody>
    </xdr:sp>
    <xdr:clientData/>
  </xdr:twoCellAnchor>
  <xdr:twoCellAnchor>
    <xdr:from>
      <xdr:col>19</xdr:col>
      <xdr:colOff>137160</xdr:colOff>
      <xdr:row>28</xdr:row>
      <xdr:rowOff>175260</xdr:rowOff>
    </xdr:from>
    <xdr:to>
      <xdr:col>22</xdr:col>
      <xdr:colOff>388620</xdr:colOff>
      <xdr:row>36</xdr:row>
      <xdr:rowOff>45720</xdr:rowOff>
    </xdr:to>
    <xdr:sp macro="" textlink="">
      <xdr:nvSpPr>
        <xdr:cNvPr id="17" name="TextBox 16">
          <a:extLst>
            <a:ext uri="{FF2B5EF4-FFF2-40B4-BE49-F238E27FC236}">
              <a16:creationId xmlns:a16="http://schemas.microsoft.com/office/drawing/2014/main" id="{05B2BD32-316F-8AB7-4DFA-47ED019E2275}"/>
            </a:ext>
          </a:extLst>
        </xdr:cNvPr>
        <xdr:cNvSpPr txBox="1"/>
      </xdr:nvSpPr>
      <xdr:spPr>
        <a:xfrm>
          <a:off x="11719560" y="5295900"/>
          <a:ext cx="2080260" cy="133350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solidFill>
                <a:schemeClr val="bg1"/>
              </a:solidFill>
            </a:rPr>
            <a:t>Highest</a:t>
          </a:r>
          <a:r>
            <a:rPr lang="en-IN" sz="2400" baseline="0">
              <a:solidFill>
                <a:schemeClr val="bg1"/>
              </a:solidFill>
            </a:rPr>
            <a:t> Selling Product</a:t>
          </a:r>
          <a:endParaRPr lang="en-IN" sz="2400">
            <a:solidFill>
              <a:schemeClr val="bg1"/>
            </a:solidFill>
          </a:endParaRPr>
        </a:p>
      </xdr:txBody>
    </xdr:sp>
    <xdr:clientData/>
  </xdr:twoCellAnchor>
  <xdr:twoCellAnchor>
    <xdr:from>
      <xdr:col>19</xdr:col>
      <xdr:colOff>411480</xdr:colOff>
      <xdr:row>33</xdr:row>
      <xdr:rowOff>60960</xdr:rowOff>
    </xdr:from>
    <xdr:to>
      <xdr:col>22</xdr:col>
      <xdr:colOff>220980</xdr:colOff>
      <xdr:row>36</xdr:row>
      <xdr:rowOff>0</xdr:rowOff>
    </xdr:to>
    <xdr:sp macro="" textlink="W22">
      <xdr:nvSpPr>
        <xdr:cNvPr id="18" name="TextBox 17">
          <a:extLst>
            <a:ext uri="{FF2B5EF4-FFF2-40B4-BE49-F238E27FC236}">
              <a16:creationId xmlns:a16="http://schemas.microsoft.com/office/drawing/2014/main" id="{7E34EC28-D07C-0C03-4C28-5A1E35D822F0}"/>
            </a:ext>
          </a:extLst>
        </xdr:cNvPr>
        <xdr:cNvSpPr txBox="1"/>
      </xdr:nvSpPr>
      <xdr:spPr>
        <a:xfrm>
          <a:off x="11993880" y="6096000"/>
          <a:ext cx="1638300" cy="48768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71B7DC3-A621-4F96-ACFB-EB17DA6E9B54}" type="TxLink">
            <a:rPr lang="en-US" sz="2800" b="0" i="0" u="none" strike="noStrike">
              <a:solidFill>
                <a:schemeClr val="bg1"/>
              </a:solidFill>
              <a:latin typeface="Calibri"/>
              <a:ea typeface="Calibri"/>
              <a:cs typeface="Calibri"/>
            </a:rPr>
            <a:t>Electronics</a:t>
          </a:fld>
          <a:endParaRPr lang="en-IN" sz="2800">
            <a:solidFill>
              <a:schemeClr val="bg1"/>
            </a:solidFill>
          </a:endParaRPr>
        </a:p>
      </xdr:txBody>
    </xdr:sp>
    <xdr:clientData/>
  </xdr:twoCellAnchor>
  <xdr:twoCellAnchor editAs="oneCell">
    <xdr:from>
      <xdr:col>0</xdr:col>
      <xdr:colOff>167640</xdr:colOff>
      <xdr:row>12</xdr:row>
      <xdr:rowOff>114300</xdr:rowOff>
    </xdr:from>
    <xdr:to>
      <xdr:col>2</xdr:col>
      <xdr:colOff>457200</xdr:colOff>
      <xdr:row>22</xdr:row>
      <xdr:rowOff>83820</xdr:rowOff>
    </xdr:to>
    <mc:AlternateContent xmlns:mc="http://schemas.openxmlformats.org/markup-compatibility/2006">
      <mc:Choice xmlns:a14="http://schemas.microsoft.com/office/drawing/2010/main" Requires="a14">
        <xdr:graphicFrame macro="">
          <xdr:nvGraphicFramePr>
            <xdr:cNvPr id="20" name="Region">
              <a:extLst>
                <a:ext uri="{FF2B5EF4-FFF2-40B4-BE49-F238E27FC236}">
                  <a16:creationId xmlns:a16="http://schemas.microsoft.com/office/drawing/2014/main" id="{1CE3973A-CC43-A2B0-3D7A-0422795673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7640" y="2308860"/>
              <a:ext cx="1508760" cy="1798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23</xdr:row>
      <xdr:rowOff>60961</xdr:rowOff>
    </xdr:from>
    <xdr:to>
      <xdr:col>2</xdr:col>
      <xdr:colOff>495300</xdr:colOff>
      <xdr:row>32</xdr:row>
      <xdr:rowOff>175261</xdr:rowOff>
    </xdr:to>
    <mc:AlternateContent xmlns:mc="http://schemas.openxmlformats.org/markup-compatibility/2006">
      <mc:Choice xmlns:a14="http://schemas.microsoft.com/office/drawing/2010/main" Requires="a14">
        <xdr:graphicFrame macro="">
          <xdr:nvGraphicFramePr>
            <xdr:cNvPr id="21" name="Payment Method">
              <a:extLst>
                <a:ext uri="{FF2B5EF4-FFF2-40B4-BE49-F238E27FC236}">
                  <a16:creationId xmlns:a16="http://schemas.microsoft.com/office/drawing/2014/main" id="{C92F8958-B8A4-04E8-2668-ABA42543F94A}"/>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37160" y="4267201"/>
              <a:ext cx="1577340" cy="1760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33</xdr:row>
      <xdr:rowOff>53341</xdr:rowOff>
    </xdr:from>
    <xdr:to>
      <xdr:col>3</xdr:col>
      <xdr:colOff>114300</xdr:colOff>
      <xdr:row>42</xdr:row>
      <xdr:rowOff>60961</xdr:rowOff>
    </xdr:to>
    <mc:AlternateContent xmlns:mc="http://schemas.openxmlformats.org/markup-compatibility/2006">
      <mc:Choice xmlns:a14="http://schemas.microsoft.com/office/drawing/2010/main" Requires="a14">
        <xdr:graphicFrame macro="">
          <xdr:nvGraphicFramePr>
            <xdr:cNvPr id="22" name="Product Category">
              <a:extLst>
                <a:ext uri="{FF2B5EF4-FFF2-40B4-BE49-F238E27FC236}">
                  <a16:creationId xmlns:a16="http://schemas.microsoft.com/office/drawing/2014/main" id="{68DC990D-B7A7-E784-4747-7213E57E4E4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4300" y="6088381"/>
              <a:ext cx="1828800" cy="1653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sankar mandal" refreshedDate="46087.519229745369" createdVersion="8" refreshedVersion="8" minRefreshableVersion="3" recordCount="100" xr:uid="{7B3B1A22-51E5-46CD-9438-B5EF4DC6FE74}">
  <cacheSource type="worksheet">
    <worksheetSource ref="A1:S101" sheet="Orders"/>
  </cacheSource>
  <cacheFields count="22">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Order Status" numFmtId="0">
      <sharedItems count="2">
        <s v="Cancelled"/>
        <s v="Delivered"/>
      </sharedItems>
    </cacheField>
    <cacheField name="Delivery Time" numFmtId="0">
      <sharedItems containsMixedTypes="1" containsNumber="1" containsInteger="1" minValue="1" maxValue="7"/>
    </cacheField>
    <cacheField name="Delivery Performance" numFmtId="0">
      <sharedItems/>
    </cacheField>
    <cacheField name="Customer Name" numFmtId="0">
      <sharedItems/>
    </cacheField>
    <cacheField name="Product Category" numFmtId="0">
      <sharedItems count="5">
        <s v="Home"/>
        <s v="Toys"/>
        <s v="Fashion"/>
        <s v="Electronics"/>
        <s v="Books"/>
      </sharedItems>
    </cacheField>
    <cacheField name="Product Name" numFmtId="0">
      <sharedItems/>
    </cacheField>
    <cacheField name="Field1" numFmtId="0" formula="IF('Delivery Status'=&quot;Delivered&quot;,'Total Amount',0)" databaseField="0"/>
    <cacheField name="Field2" numFmtId="0" formula="IF('Order Status'=&quot;Delivered&quot;,'Total Amount',0)" databaseField="0"/>
    <cacheField name="Field3" numFmtId="0" formula="IF('Delivery Status'=&quot;Delivered&quot;,'Total Amount',0)"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sankar mandal" refreshedDate="46087.530817939813" createdVersion="8" refreshedVersion="8" minRefreshableVersion="3" recordCount="100" xr:uid="{2E4BE435-E85C-4888-A523-DF193B4F67F1}">
  <cacheSource type="worksheet">
    <worksheetSource ref="A1:T101" sheet="Orders"/>
  </cacheSource>
  <cacheFields count="20">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Order Status" numFmtId="0">
      <sharedItems/>
    </cacheField>
    <cacheField name="Delivery Time" numFmtId="0">
      <sharedItems containsMixedTypes="1" containsNumber="1" containsInteger="1" minValue="1" maxValue="7"/>
    </cacheField>
    <cacheField name="Delivery Performance" numFmtId="0">
      <sharedItems count="3">
        <s v="Cancelled"/>
        <s v="Fast"/>
        <s v="Slow"/>
      </sharedItems>
    </cacheField>
    <cacheField name="Customer Name" numFmtId="0">
      <sharedItems/>
    </cacheField>
    <cacheField name="Product Category" numFmtId="0">
      <sharedItems count="5">
        <s v="Home"/>
        <s v="Toys"/>
        <s v="Fashion"/>
        <s v="Electronics"/>
        <s v="Books"/>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Effective Sales" numFmtId="0">
      <sharedItems containsSemiMixedTypes="0" containsString="0" containsNumber="1" containsInteger="1" minValue="0" maxValue="3260"/>
    </cacheField>
  </cacheFields>
  <extLst>
    <ext xmlns:x14="http://schemas.microsoft.com/office/spreadsheetml/2009/9/main" uri="{725AE2AE-9491-48be-B2B4-4EB974FC3084}">
      <x14:pivotCacheDefinition pivotCacheId="3785398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s v="Apple Pay"/>
    <x v="0"/>
    <s v="DHL"/>
    <d v="2023-12-31T00:00:00"/>
    <m/>
    <d v="2024-01-02T00:00:00"/>
    <x v="0"/>
    <s v="NA"/>
    <s v="Cancelled"/>
    <s v="Zoe Mitchell"/>
    <x v="0"/>
    <s v="Lamp"/>
  </r>
  <r>
    <s v="ORD0002"/>
    <s v="CUST029"/>
    <s v="PROD018"/>
    <x v="1"/>
    <n v="96"/>
    <n v="4"/>
    <n v="384"/>
    <s v="Credit Card"/>
    <x v="1"/>
    <s v="DHL"/>
    <d v="2023-02-22T00:00:00"/>
    <d v="2023-02-24T00:00:00"/>
    <m/>
    <x v="1"/>
    <n v="2"/>
    <s v="Fast"/>
    <s v="Ava White"/>
    <x v="1"/>
    <s v="Doll House"/>
  </r>
  <r>
    <s v="ORD0003"/>
    <s v="CUST021"/>
    <s v="PROD013"/>
    <x v="2"/>
    <n v="194"/>
    <n v="4"/>
    <n v="776"/>
    <s v="Credit Card"/>
    <x v="2"/>
    <s v="USPS"/>
    <d v="2023-10-11T00:00:00"/>
    <m/>
    <m/>
    <x v="1"/>
    <s v="NA"/>
    <s v="Cancelled"/>
    <s v="Zoe Mitchell"/>
    <x v="0"/>
    <s v="Vacuum Cleaner"/>
  </r>
  <r>
    <s v="ORD0004"/>
    <s v="CUST044"/>
    <s v="PROD013"/>
    <x v="0"/>
    <n v="196"/>
    <n v="3"/>
    <n v="588"/>
    <s v="PayPal"/>
    <x v="0"/>
    <s v="UPS"/>
    <d v="2023-05-05T00:00:00"/>
    <m/>
    <d v="2023-05-11T00:00:00"/>
    <x v="0"/>
    <s v="NA"/>
    <s v="Cancelled"/>
    <s v="Grace Ward"/>
    <x v="0"/>
    <s v="Vacuum Cleaner"/>
  </r>
  <r>
    <s v="ORD0005"/>
    <s v="CUST027"/>
    <s v="PROD010"/>
    <x v="0"/>
    <n v="59"/>
    <n v="1"/>
    <n v="59"/>
    <s v="PayPal"/>
    <x v="1"/>
    <s v="Amazon Logistics"/>
    <d v="2023-02-02T00:00:00"/>
    <d v="2023-02-05T00:00:00"/>
    <m/>
    <x v="1"/>
    <n v="3"/>
    <s v="Slow"/>
    <s v="Hazel Brooks"/>
    <x v="2"/>
    <s v="Jeans"/>
  </r>
  <r>
    <s v="ORD0006"/>
    <s v="CUST009"/>
    <s v="PROD010"/>
    <x v="0"/>
    <n v="58"/>
    <n v="4"/>
    <n v="232"/>
    <s v="Amazon Pay"/>
    <x v="0"/>
    <s v="DHL"/>
    <d v="2023-11-01T00:00:00"/>
    <m/>
    <d v="2023-11-02T00:00:00"/>
    <x v="0"/>
    <s v="NA"/>
    <s v="Cancelled"/>
    <s v="Jackson Allen"/>
    <x v="2"/>
    <s v="Jeans"/>
  </r>
  <r>
    <s v="ORD0007"/>
    <s v="CUST042"/>
    <s v="PROD020"/>
    <x v="3"/>
    <n v="105"/>
    <n v="3"/>
    <n v="315"/>
    <s v="Debit Card"/>
    <x v="0"/>
    <s v="DHL"/>
    <d v="2023-08-14T00:00:00"/>
    <m/>
    <d v="2023-08-18T00:00:00"/>
    <x v="0"/>
    <s v="NA"/>
    <s v="Cancelled"/>
    <s v="Noah Wilson"/>
    <x v="3"/>
    <s v="Bluetooth Speaker"/>
  </r>
  <r>
    <s v="ORD0008"/>
    <s v="CUST019"/>
    <s v="PROD021"/>
    <x v="4"/>
    <n v="37"/>
    <n v="5"/>
    <n v="185"/>
    <s v="PayPal"/>
    <x v="0"/>
    <s v="DHL"/>
    <d v="2023-04-01T00:00:00"/>
    <m/>
    <d v="2023-04-06T00:00:00"/>
    <x v="0"/>
    <s v="NA"/>
    <s v="Cancelled"/>
    <s v="Ava Robinson"/>
    <x v="0"/>
    <s v="Wall Clock"/>
  </r>
  <r>
    <s v="ORD0009"/>
    <s v="CUST013"/>
    <s v="PROD019"/>
    <x v="3"/>
    <n v="44"/>
    <n v="2"/>
    <n v="88"/>
    <s v="Credit Card"/>
    <x v="2"/>
    <s v="Amazon Logistics"/>
    <d v="2023-07-21T00:00:00"/>
    <m/>
    <m/>
    <x v="1"/>
    <s v="NA"/>
    <s v="Cancelled"/>
    <s v="Olivia Martinez"/>
    <x v="2"/>
    <s v="Formal Shirt"/>
  </r>
  <r>
    <s v="ORD0010"/>
    <s v="CUST019"/>
    <s v="PROD003"/>
    <x v="2"/>
    <n v="141"/>
    <n v="4"/>
    <n v="564"/>
    <s v="Debit Card"/>
    <x v="2"/>
    <s v="DHL"/>
    <d v="2023-12-29T00:00:00"/>
    <m/>
    <m/>
    <x v="1"/>
    <s v="NA"/>
    <s v="Cancelled"/>
    <s v="Ava Robinson"/>
    <x v="0"/>
    <s v="Cookware Set"/>
  </r>
  <r>
    <s v="ORD0011"/>
    <s v="CUST046"/>
    <s v="PROD014"/>
    <x v="2"/>
    <n v="249"/>
    <n v="1"/>
    <n v="249"/>
    <s v="Amazon Pay"/>
    <x v="0"/>
    <s v="USPS"/>
    <d v="2023-05-04T00:00:00"/>
    <m/>
    <d v="2023-05-08T00:00:00"/>
    <x v="0"/>
    <s v="NA"/>
    <s v="Cancelled"/>
    <s v="Emily Johnson"/>
    <x v="3"/>
    <s v="Smartwatch"/>
  </r>
  <r>
    <s v="ORD0012"/>
    <s v="CUST045"/>
    <s v="PROD014"/>
    <x v="3"/>
    <n v="247"/>
    <n v="3"/>
    <n v="741"/>
    <s v="Amazon Pay"/>
    <x v="2"/>
    <s v="FedEx"/>
    <d v="2023-07-25T00:00:00"/>
    <m/>
    <m/>
    <x v="1"/>
    <s v="NA"/>
    <s v="Cancelled"/>
    <s v="Emily Johnson"/>
    <x v="3"/>
    <s v="Smartwatch"/>
  </r>
  <r>
    <s v="ORD0013"/>
    <s v="CUST023"/>
    <s v="PROD006"/>
    <x v="3"/>
    <n v="96"/>
    <n v="1"/>
    <n v="96"/>
    <s v="Apple Pay"/>
    <x v="0"/>
    <s v="Amazon Logistics"/>
    <d v="2023-02-25T00:00:00"/>
    <m/>
    <d v="2023-02-28T00:00:00"/>
    <x v="0"/>
    <s v="NA"/>
    <s v="Cancelled"/>
    <s v="Charlotte Reed"/>
    <x v="2"/>
    <s v="Shoes"/>
  </r>
  <r>
    <s v="ORD0014"/>
    <s v="CUST033"/>
    <s v="PROD017"/>
    <x v="4"/>
    <n v="74"/>
    <n v="5"/>
    <n v="370"/>
    <s v="Apple Pay"/>
    <x v="0"/>
    <s v="Amazon Logistics"/>
    <d v="2023-02-24T00:00:00"/>
    <m/>
    <d v="2023-02-25T00:00:00"/>
    <x v="0"/>
    <s v="NA"/>
    <s v="Cancelled"/>
    <s v="Hazel Rivera"/>
    <x v="3"/>
    <s v="Gaming Mouse"/>
  </r>
  <r>
    <s v="ORD0015"/>
    <s v="CUST033"/>
    <s v="PROD005"/>
    <x v="2"/>
    <n v="27"/>
    <n v="1"/>
    <n v="27"/>
    <s v="Credit Card"/>
    <x v="0"/>
    <s v="Amazon Logistics"/>
    <d v="2023-08-26T00:00:00"/>
    <m/>
    <d v="2023-09-02T00:00:00"/>
    <x v="0"/>
    <s v="NA"/>
    <s v="Cancelled"/>
    <s v="Hazel Rivera"/>
    <x v="2"/>
    <s v="T-Shirt"/>
  </r>
  <r>
    <s v="ORD0016"/>
    <s v="CUST047"/>
    <s v="PROD005"/>
    <x v="2"/>
    <n v="27"/>
    <n v="3"/>
    <n v="81"/>
    <s v="Debit Card"/>
    <x v="2"/>
    <s v="Amazon Logistics"/>
    <d v="2023-02-13T00:00:00"/>
    <m/>
    <m/>
    <x v="1"/>
    <s v="NA"/>
    <s v="Cancelled"/>
    <s v="Scarlett Murphy"/>
    <x v="2"/>
    <s v="T-Shirt"/>
  </r>
  <r>
    <s v="ORD0017"/>
    <s v="CUST045"/>
    <s v="PROD015"/>
    <x v="1"/>
    <n v="21"/>
    <n v="3"/>
    <n v="63"/>
    <s v="Credit Card"/>
    <x v="1"/>
    <s v="DHL"/>
    <d v="2023-06-28T00:00:00"/>
    <d v="2023-07-01T00:00:00"/>
    <m/>
    <x v="1"/>
    <n v="3"/>
    <s v="Slow"/>
    <s v="Emily Johnson"/>
    <x v="4"/>
    <s v="Novel"/>
  </r>
  <r>
    <s v="ORD0018"/>
    <s v="CUST011"/>
    <s v="PROD008"/>
    <x v="4"/>
    <n v="70"/>
    <n v="5"/>
    <n v="350"/>
    <s v="PayPal"/>
    <x v="2"/>
    <s v="Amazon Logistics"/>
    <d v="2023-11-28T00:00:00"/>
    <m/>
    <m/>
    <x v="1"/>
    <s v="NA"/>
    <s v="Cancelled"/>
    <s v="Mason Hall"/>
    <x v="4"/>
    <s v="Textbook"/>
  </r>
  <r>
    <s v="ORD0019"/>
    <s v="CUST041"/>
    <s v="PROD006"/>
    <x v="2"/>
    <n v="94"/>
    <n v="4"/>
    <n v="376"/>
    <s v="Credit Card"/>
    <x v="2"/>
    <s v="USPS"/>
    <d v="2023-08-25T00:00:00"/>
    <m/>
    <m/>
    <x v="1"/>
    <s v="NA"/>
    <s v="Cancelled"/>
    <s v="Jacob Price"/>
    <x v="2"/>
    <s v="Shoes"/>
  </r>
  <r>
    <s v="ORD0020"/>
    <s v="CUST025"/>
    <s v="PROD001"/>
    <x v="0"/>
    <n v="813"/>
    <n v="2"/>
    <n v="1626"/>
    <s v="Credit Card"/>
    <x v="2"/>
    <s v="FedEx"/>
    <d v="2023-04-12T00:00:00"/>
    <m/>
    <m/>
    <x v="1"/>
    <s v="NA"/>
    <s v="Cancelled"/>
    <s v="Emma King"/>
    <x v="3"/>
    <s v="Smartphone"/>
  </r>
  <r>
    <s v="ORD0021"/>
    <s v="CUST013"/>
    <s v="PROD015"/>
    <x v="3"/>
    <n v="21"/>
    <n v="4"/>
    <n v="84"/>
    <s v="PayPal"/>
    <x v="2"/>
    <s v="Amazon Logistics"/>
    <d v="2023-10-02T00:00:00"/>
    <m/>
    <m/>
    <x v="1"/>
    <s v="NA"/>
    <s v="Cancelled"/>
    <s v="Olivia Martinez"/>
    <x v="4"/>
    <s v="Novel"/>
  </r>
  <r>
    <s v="ORD0022"/>
    <s v="CUST023"/>
    <s v="PROD012"/>
    <x v="4"/>
    <n v="46"/>
    <n v="5"/>
    <n v="230"/>
    <s v="PayPal"/>
    <x v="2"/>
    <s v="USPS"/>
    <d v="2023-11-09T00:00:00"/>
    <m/>
    <m/>
    <x v="1"/>
    <s v="NA"/>
    <s v="Cancelled"/>
    <s v="Charlotte Reed"/>
    <x v="0"/>
    <s v="Lamp"/>
  </r>
  <r>
    <s v="ORD0023"/>
    <s v="CUST016"/>
    <s v="PROD010"/>
    <x v="4"/>
    <n v="58"/>
    <n v="3"/>
    <n v="174"/>
    <s v="Amazon Pay"/>
    <x v="0"/>
    <s v="Amazon Logistics"/>
    <d v="2023-02-13T00:00:00"/>
    <m/>
    <d v="2023-02-14T00:00:00"/>
    <x v="0"/>
    <s v="NA"/>
    <s v="Cancelled"/>
    <s v="Elijah Lewis"/>
    <x v="2"/>
    <s v="Jeans"/>
  </r>
  <r>
    <s v="ORD0024"/>
    <s v="CUST028"/>
    <s v="PROD006"/>
    <x v="4"/>
    <n v="96"/>
    <n v="5"/>
    <n v="480"/>
    <s v="Amazon Pay"/>
    <x v="1"/>
    <s v="Amazon Logistics"/>
    <d v="2023-11-02T00:00:00"/>
    <d v="2023-11-05T00:00:00"/>
    <m/>
    <x v="1"/>
    <n v="3"/>
    <s v="Slow"/>
    <s v="Lily Bennett"/>
    <x v="2"/>
    <s v="Shoes"/>
  </r>
  <r>
    <s v="ORD0025"/>
    <s v="CUST040"/>
    <s v="PROD002"/>
    <x v="2"/>
    <n v="43"/>
    <n v="1"/>
    <n v="43"/>
    <s v="Debit Card"/>
    <x v="1"/>
    <s v="Amazon Logistics"/>
    <d v="2023-05-28T00:00:00"/>
    <d v="2023-05-30T00:00:00"/>
    <m/>
    <x v="1"/>
    <n v="2"/>
    <s v="Fast"/>
    <s v="Benjamin Clark"/>
    <x v="1"/>
    <s v="Action Figure"/>
  </r>
  <r>
    <s v="ORD0026"/>
    <s v="CUST027"/>
    <s v="PROD022"/>
    <x v="2"/>
    <n v="64"/>
    <n v="4"/>
    <n v="256"/>
    <s v="Debit Card"/>
    <x v="1"/>
    <s v="USPS"/>
    <d v="2023-10-15T00:00:00"/>
    <d v="2023-10-21T00:00:00"/>
    <m/>
    <x v="1"/>
    <n v="6"/>
    <s v="Slow"/>
    <s v="Hazel Brooks"/>
    <x v="2"/>
    <s v="Backpack"/>
  </r>
  <r>
    <s v="ORD0027"/>
    <s v="CUST018"/>
    <s v="PROD008"/>
    <x v="2"/>
    <n v="70"/>
    <n v="2"/>
    <n v="140"/>
    <s v="Amazon Pay"/>
    <x v="2"/>
    <s v="Amazon Logistics"/>
    <d v="2023-01-16T00:00:00"/>
    <m/>
    <m/>
    <x v="1"/>
    <s v="NA"/>
    <s v="Cancelled"/>
    <s v="Grace Scott"/>
    <x v="4"/>
    <s v="Textbook"/>
  </r>
  <r>
    <s v="ORD0028"/>
    <s v="CUST018"/>
    <s v="PROD018"/>
    <x v="3"/>
    <n v="97"/>
    <n v="3"/>
    <n v="291"/>
    <s v="Credit Card"/>
    <x v="2"/>
    <s v="Amazon Logistics"/>
    <d v="2023-10-09T00:00:00"/>
    <m/>
    <m/>
    <x v="1"/>
    <s v="NA"/>
    <s v="Cancelled"/>
    <s v="Grace Scott"/>
    <x v="1"/>
    <s v="Doll House"/>
  </r>
  <r>
    <s v="ORD0029"/>
    <s v="CUST007"/>
    <s v="PROD021"/>
    <x v="1"/>
    <n v="37"/>
    <n v="3"/>
    <n v="111"/>
    <s v="Apple Pay"/>
    <x v="0"/>
    <s v="DHL"/>
    <d v="2023-10-07T00:00:00"/>
    <m/>
    <d v="2023-10-10T00:00:00"/>
    <x v="0"/>
    <s v="NA"/>
    <s v="Cancelled"/>
    <s v="Liam Walker"/>
    <x v="0"/>
    <s v="Wall Clock"/>
  </r>
  <r>
    <s v="ORD0030"/>
    <s v="CUST008"/>
    <s v="PROD008"/>
    <x v="0"/>
    <n v="69"/>
    <n v="5"/>
    <n v="345"/>
    <s v="Amazon Pay"/>
    <x v="2"/>
    <s v="Amazon Logistics"/>
    <d v="2023-02-14T00:00:00"/>
    <m/>
    <m/>
    <x v="1"/>
    <s v="NA"/>
    <s v="Cancelled"/>
    <s v="Harper Young"/>
    <x v="4"/>
    <s v="Textbook"/>
  </r>
  <r>
    <s v="ORD0031"/>
    <s v="CUST014"/>
    <s v="PROD002"/>
    <x v="0"/>
    <n v="42"/>
    <n v="5"/>
    <n v="210"/>
    <s v="Amazon Pay"/>
    <x v="2"/>
    <s v="UPS"/>
    <d v="2023-03-26T00:00:00"/>
    <m/>
    <m/>
    <x v="1"/>
    <s v="NA"/>
    <s v="Cancelled"/>
    <s v="Harper Young"/>
    <x v="1"/>
    <s v="Action Figure"/>
  </r>
  <r>
    <s v="ORD0032"/>
    <s v="CUST037"/>
    <s v="PROD009"/>
    <x v="1"/>
    <n v="11"/>
    <n v="5"/>
    <n v="55"/>
    <s v="Debit Card"/>
    <x v="0"/>
    <s v="FedEx"/>
    <d v="2023-06-15T00:00:00"/>
    <m/>
    <d v="2023-06-22T00:00:00"/>
    <x v="0"/>
    <s v="NA"/>
    <s v="Cancelled"/>
    <s v="Emily Johnson"/>
    <x v="4"/>
    <s v="Magazine"/>
  </r>
  <r>
    <s v="ORD0033"/>
    <s v="CUST016"/>
    <s v="PROD005"/>
    <x v="2"/>
    <n v="27"/>
    <n v="2"/>
    <n v="54"/>
    <s v="Apple Pay"/>
    <x v="1"/>
    <s v="USPS"/>
    <d v="2023-05-22T00:00:00"/>
    <d v="2023-05-23T00:00:00"/>
    <m/>
    <x v="1"/>
    <n v="1"/>
    <s v="Fast"/>
    <s v="Elijah Lewis"/>
    <x v="2"/>
    <s v="T-Shirt"/>
  </r>
  <r>
    <s v="ORD0034"/>
    <s v="CUST025"/>
    <s v="PROD015"/>
    <x v="2"/>
    <n v="21"/>
    <n v="1"/>
    <n v="21"/>
    <s v="Amazon Pay"/>
    <x v="2"/>
    <s v="DHL"/>
    <d v="2023-11-20T00:00:00"/>
    <m/>
    <m/>
    <x v="1"/>
    <s v="NA"/>
    <s v="Cancelled"/>
    <s v="Emma King"/>
    <x v="4"/>
    <s v="Novel"/>
  </r>
  <r>
    <s v="ORD0035"/>
    <s v="CUST032"/>
    <s v="PROD011"/>
    <x v="2"/>
    <n v="172"/>
    <n v="1"/>
    <n v="172"/>
    <s v="PayPal"/>
    <x v="1"/>
    <s v="USPS"/>
    <d v="2023-12-22T00:00:00"/>
    <d v="2023-12-26T00:00:00"/>
    <m/>
    <x v="1"/>
    <n v="4"/>
    <s v="Slow"/>
    <s v="Luke Gray"/>
    <x v="3"/>
    <s v="Headphones"/>
  </r>
  <r>
    <s v="ORD0036"/>
    <s v="CUST014"/>
    <s v="PROD016"/>
    <x v="0"/>
    <n v="212"/>
    <n v="3"/>
    <n v="636"/>
    <s v="Amazon Pay"/>
    <x v="2"/>
    <s v="UPS"/>
    <d v="2023-07-23T00:00:00"/>
    <m/>
    <m/>
    <x v="1"/>
    <s v="NA"/>
    <s v="Cancelled"/>
    <s v="Harper Young"/>
    <x v="0"/>
    <s v="Cookware Set Pro"/>
  </r>
  <r>
    <s v="ORD0037"/>
    <s v="CUST044"/>
    <s v="PROD002"/>
    <x v="1"/>
    <n v="41"/>
    <n v="4"/>
    <n v="164"/>
    <s v="Credit Card"/>
    <x v="1"/>
    <s v="Amazon Logistics"/>
    <d v="2023-10-17T00:00:00"/>
    <d v="2023-10-22T00:00:00"/>
    <m/>
    <x v="1"/>
    <n v="5"/>
    <s v="Slow"/>
    <s v="Grace Ward"/>
    <x v="1"/>
    <s v="Action Figure"/>
  </r>
  <r>
    <s v="ORD0038"/>
    <s v="CUST028"/>
    <s v="PROD007"/>
    <x v="0"/>
    <n v="32"/>
    <n v="2"/>
    <n v="64"/>
    <s v="Debit Card"/>
    <x v="0"/>
    <s v="FedEx"/>
    <d v="2023-08-22T00:00:00"/>
    <m/>
    <d v="2023-08-24T00:00:00"/>
    <x v="0"/>
    <s v="NA"/>
    <s v="Cancelled"/>
    <s v="Lily Bennett"/>
    <x v="1"/>
    <s v="Puzzle"/>
  </r>
  <r>
    <s v="ORD0039"/>
    <s v="CUST024"/>
    <s v="PROD022"/>
    <x v="1"/>
    <n v="66"/>
    <n v="2"/>
    <n v="132"/>
    <s v="Apple Pay"/>
    <x v="2"/>
    <s v="DHL"/>
    <d v="2023-12-02T00:00:00"/>
    <m/>
    <m/>
    <x v="1"/>
    <s v="NA"/>
    <s v="Cancelled"/>
    <s v="Scarlett Murphy"/>
    <x v="2"/>
    <s v="Backpack"/>
  </r>
  <r>
    <s v="ORD0040"/>
    <s v="CUST006"/>
    <s v="PROD004"/>
    <x v="1"/>
    <n v="62"/>
    <n v="4"/>
    <n v="248"/>
    <s v="Debit Card"/>
    <x v="2"/>
    <s v="UPS"/>
    <d v="2023-12-25T00:00:00"/>
    <m/>
    <m/>
    <x v="1"/>
    <s v="NA"/>
    <s v="Cancelled"/>
    <s v="Ava Robinson"/>
    <x v="1"/>
    <s v="Leg Set"/>
  </r>
  <r>
    <s v="ORD0041"/>
    <s v="CUST001"/>
    <s v="PROD011"/>
    <x v="4"/>
    <n v="173"/>
    <n v="4"/>
    <n v="692"/>
    <s v="Apple Pay"/>
    <x v="1"/>
    <s v="UPS"/>
    <d v="2023-09-23T00:00:00"/>
    <d v="2023-09-30T00:00:00"/>
    <m/>
    <x v="1"/>
    <n v="7"/>
    <s v="Slow"/>
    <s v="James Miller"/>
    <x v="3"/>
    <s v="Headphones"/>
  </r>
  <r>
    <s v="ORD0042"/>
    <s v="CUST007"/>
    <s v="PROD004"/>
    <x v="4"/>
    <n v="63"/>
    <n v="3"/>
    <n v="189"/>
    <s v="Apple Pay"/>
    <x v="1"/>
    <s v="UPS"/>
    <d v="2023-07-16T00:00:00"/>
    <d v="2023-07-18T00:00:00"/>
    <m/>
    <x v="1"/>
    <n v="2"/>
    <s v="Fast"/>
    <s v="Liam Walker"/>
    <x v="1"/>
    <s v="Leg Set"/>
  </r>
  <r>
    <s v="ORD0043"/>
    <s v="CUST040"/>
    <s v="PROD021"/>
    <x v="4"/>
    <n v="36"/>
    <n v="3"/>
    <n v="108"/>
    <s v="Debit Card"/>
    <x v="0"/>
    <s v="USPS"/>
    <d v="2023-02-05T00:00:00"/>
    <m/>
    <d v="2023-02-11T00:00:00"/>
    <x v="0"/>
    <s v="NA"/>
    <s v="Cancelled"/>
    <s v="Benjamin Clark"/>
    <x v="0"/>
    <s v="Wall Clock"/>
  </r>
  <r>
    <s v="ORD0044"/>
    <s v="CUST006"/>
    <s v="PROD004"/>
    <x v="3"/>
    <n v="62"/>
    <n v="1"/>
    <n v="62"/>
    <s v="Apple Pay"/>
    <x v="0"/>
    <s v="Amazon Logistics"/>
    <d v="2023-12-18T00:00:00"/>
    <m/>
    <d v="2023-12-23T00:00:00"/>
    <x v="0"/>
    <s v="NA"/>
    <s v="Cancelled"/>
    <s v="Ava Robinson"/>
    <x v="1"/>
    <s v="Leg Set"/>
  </r>
  <r>
    <s v="ORD0045"/>
    <s v="CUST042"/>
    <s v="PROD003"/>
    <x v="3"/>
    <n v="137"/>
    <n v="5"/>
    <n v="685"/>
    <s v="Amazon Pay"/>
    <x v="0"/>
    <s v="FedEx"/>
    <d v="2023-06-11T00:00:00"/>
    <m/>
    <d v="2023-06-14T00:00:00"/>
    <x v="0"/>
    <s v="NA"/>
    <s v="Cancelled"/>
    <s v="Noah Wilson"/>
    <x v="0"/>
    <s v="Cookware Set"/>
  </r>
  <r>
    <s v="ORD0046"/>
    <s v="CUST039"/>
    <s v="PROD017"/>
    <x v="0"/>
    <n v="73"/>
    <n v="4"/>
    <n v="292"/>
    <s v="Credit Card"/>
    <x v="1"/>
    <s v="Amazon Logistics"/>
    <d v="2023-12-04T00:00:00"/>
    <d v="2023-12-08T00:00:00"/>
    <m/>
    <x v="1"/>
    <n v="4"/>
    <s v="Slow"/>
    <s v="Logan Ramirez"/>
    <x v="3"/>
    <s v="Gaming Mouse"/>
  </r>
  <r>
    <s v="ORD0047"/>
    <s v="CUST041"/>
    <s v="PROD020"/>
    <x v="0"/>
    <n v="104"/>
    <n v="1"/>
    <n v="104"/>
    <s v="PayPal"/>
    <x v="1"/>
    <s v="Amazon Logistics"/>
    <d v="2023-07-17T00:00:00"/>
    <d v="2023-07-19T00:00:00"/>
    <m/>
    <x v="1"/>
    <n v="2"/>
    <s v="Fast"/>
    <s v="Jacob Price"/>
    <x v="3"/>
    <s v="Bluetooth Speaker"/>
  </r>
  <r>
    <s v="ORD0048"/>
    <s v="CUST044"/>
    <s v="PROD006"/>
    <x v="1"/>
    <n v="97"/>
    <n v="1"/>
    <n v="97"/>
    <s v="Amazon Pay"/>
    <x v="1"/>
    <s v="FedEx"/>
    <d v="2023-10-19T00:00:00"/>
    <d v="2023-10-24T00:00:00"/>
    <m/>
    <x v="1"/>
    <n v="5"/>
    <s v="Slow"/>
    <s v="Grace Ward"/>
    <x v="2"/>
    <s v="Shoes"/>
  </r>
  <r>
    <s v="ORD0049"/>
    <s v="CUST026"/>
    <s v="PROD017"/>
    <x v="2"/>
    <n v="73"/>
    <n v="5"/>
    <n v="365"/>
    <s v="Apple Pay"/>
    <x v="2"/>
    <s v="Amazon Logistics"/>
    <d v="2023-05-15T00:00:00"/>
    <m/>
    <m/>
    <x v="1"/>
    <s v="NA"/>
    <s v="Cancelled"/>
    <s v="Zoe Mitchell"/>
    <x v="3"/>
    <s v="Gaming Mouse"/>
  </r>
  <r>
    <s v="ORD0050"/>
    <s v="CUST040"/>
    <s v="PROD005"/>
    <x v="1"/>
    <n v="27"/>
    <n v="3"/>
    <n v="81"/>
    <s v="Amazon Pay"/>
    <x v="1"/>
    <s v="UPS"/>
    <d v="2023-02-12T00:00:00"/>
    <d v="2023-02-19T00:00:00"/>
    <m/>
    <x v="1"/>
    <n v="7"/>
    <s v="Slow"/>
    <s v="Benjamin Clark"/>
    <x v="2"/>
    <s v="T-Shirt"/>
  </r>
  <r>
    <s v="ORD0051"/>
    <s v="CUST041"/>
    <s v="PROD021"/>
    <x v="0"/>
    <n v="37"/>
    <n v="1"/>
    <n v="37"/>
    <s v="Apple Pay"/>
    <x v="2"/>
    <s v="UPS"/>
    <d v="2023-10-02T00:00:00"/>
    <m/>
    <m/>
    <x v="1"/>
    <s v="NA"/>
    <s v="Cancelled"/>
    <s v="Jacob Price"/>
    <x v="0"/>
    <s v="Wall Clock"/>
  </r>
  <r>
    <s v="ORD0052"/>
    <s v="CUST008"/>
    <s v="PROD015"/>
    <x v="0"/>
    <n v="22"/>
    <n v="1"/>
    <n v="22"/>
    <s v="Debit Card"/>
    <x v="1"/>
    <s v="FedEx"/>
    <d v="2023-01-30T00:00:00"/>
    <d v="2023-02-01T00:00:00"/>
    <m/>
    <x v="1"/>
    <n v="2"/>
    <s v="Fast"/>
    <s v="Harper Young"/>
    <x v="4"/>
    <s v="Novel"/>
  </r>
  <r>
    <s v="ORD0053"/>
    <s v="CUST011"/>
    <s v="PROD016"/>
    <x v="3"/>
    <n v="218"/>
    <n v="5"/>
    <n v="1090"/>
    <s v="PayPal"/>
    <x v="1"/>
    <s v="DHL"/>
    <d v="2023-12-29T00:00:00"/>
    <d v="2024-01-01T00:00:00"/>
    <m/>
    <x v="1"/>
    <n v="3"/>
    <s v="Slow"/>
    <s v="Mason Hall"/>
    <x v="0"/>
    <s v="Cookware Set Pro"/>
  </r>
  <r>
    <s v="ORD0054"/>
    <s v="CUST018"/>
    <s v="PROD004"/>
    <x v="0"/>
    <n v="64"/>
    <n v="1"/>
    <n v="64"/>
    <s v="Apple Pay"/>
    <x v="0"/>
    <s v="USPS"/>
    <d v="2023-03-06T00:00:00"/>
    <m/>
    <d v="2023-03-13T00:00:00"/>
    <x v="0"/>
    <s v="NA"/>
    <s v="Cancelled"/>
    <s v="Grace Scott"/>
    <x v="1"/>
    <s v="Leg Set"/>
  </r>
  <r>
    <s v="ORD0055"/>
    <s v="CUST037"/>
    <s v="PROD021"/>
    <x v="3"/>
    <n v="36"/>
    <n v="4"/>
    <n v="144"/>
    <s v="PayPal"/>
    <x v="1"/>
    <s v="Amazon Logistics"/>
    <d v="2023-02-02T00:00:00"/>
    <d v="2023-02-06T00:00:00"/>
    <m/>
    <x v="1"/>
    <n v="4"/>
    <s v="Slow"/>
    <s v="Emily Johnson"/>
    <x v="0"/>
    <s v="Wall Clock"/>
  </r>
  <r>
    <s v="ORD0056"/>
    <s v="CUST017"/>
    <s v="PROD004"/>
    <x v="4"/>
    <n v="65"/>
    <n v="1"/>
    <n v="65"/>
    <s v="Amazon Pay"/>
    <x v="1"/>
    <s v="FedEx"/>
    <d v="2023-10-18T00:00:00"/>
    <d v="2023-10-21T00:00:00"/>
    <m/>
    <x v="1"/>
    <n v="3"/>
    <s v="Slow"/>
    <s v="Emma King"/>
    <x v="1"/>
    <s v="Leg Set"/>
  </r>
  <r>
    <s v="ORD0057"/>
    <s v="CUST025"/>
    <s v="PROD005"/>
    <x v="3"/>
    <n v="26"/>
    <n v="1"/>
    <n v="26"/>
    <s v="Apple Pay"/>
    <x v="1"/>
    <s v="DHL"/>
    <d v="2023-01-07T00:00:00"/>
    <d v="2023-01-09T00:00:00"/>
    <m/>
    <x v="1"/>
    <n v="2"/>
    <s v="Fast"/>
    <s v="Emma King"/>
    <x v="2"/>
    <s v="T-Shirt"/>
  </r>
  <r>
    <s v="ORD0058"/>
    <s v="CUST021"/>
    <s v="PROD009"/>
    <x v="0"/>
    <n v="11"/>
    <n v="5"/>
    <n v="55"/>
    <s v="Credit Card"/>
    <x v="2"/>
    <s v="FedEx"/>
    <d v="2023-05-08T00:00:00"/>
    <m/>
    <m/>
    <x v="1"/>
    <s v="NA"/>
    <s v="Cancelled"/>
    <s v="Zoe Mitchell"/>
    <x v="4"/>
    <s v="Magazine"/>
  </r>
  <r>
    <s v="ORD0059"/>
    <s v="CUST003"/>
    <s v="PROD013"/>
    <x v="0"/>
    <n v="195"/>
    <n v="4"/>
    <n v="780"/>
    <s v="PayPal"/>
    <x v="0"/>
    <s v="FedEx"/>
    <d v="2023-04-02T00:00:00"/>
    <m/>
    <d v="2023-04-05T00:00:00"/>
    <x v="0"/>
    <s v="NA"/>
    <s v="Cancelled"/>
    <s v="Ethan Davis"/>
    <x v="0"/>
    <s v="Vacuum Cleaner"/>
  </r>
  <r>
    <s v="ORD0060"/>
    <s v="CUST019"/>
    <s v="PROD019"/>
    <x v="4"/>
    <n v="44"/>
    <n v="5"/>
    <n v="220"/>
    <s v="Apple Pay"/>
    <x v="0"/>
    <s v="USPS"/>
    <d v="2023-10-11T00:00:00"/>
    <m/>
    <d v="2023-10-12T00:00:00"/>
    <x v="0"/>
    <s v="NA"/>
    <s v="Cancelled"/>
    <s v="Ava Robinson"/>
    <x v="2"/>
    <s v="Formal Shirt"/>
  </r>
  <r>
    <s v="ORD0061"/>
    <s v="CUST035"/>
    <s v="PROD008"/>
    <x v="1"/>
    <n v="69"/>
    <n v="4"/>
    <n v="276"/>
    <s v="Debit Card"/>
    <x v="2"/>
    <s v="DHL"/>
    <d v="2023-09-10T00:00:00"/>
    <m/>
    <m/>
    <x v="1"/>
    <s v="NA"/>
    <s v="Cancelled"/>
    <s v="Scarlett Adams"/>
    <x v="4"/>
    <s v="Textbook"/>
  </r>
  <r>
    <s v="ORD0062"/>
    <s v="CUST022"/>
    <s v="PROD001"/>
    <x v="0"/>
    <n v="815"/>
    <n v="4"/>
    <n v="3260"/>
    <s v="Credit Card"/>
    <x v="1"/>
    <s v="USPS"/>
    <d v="2023-11-22T00:00:00"/>
    <d v="2023-11-29T00:00:00"/>
    <m/>
    <x v="1"/>
    <n v="7"/>
    <s v="Slow"/>
    <s v="Elijah Lewis"/>
    <x v="3"/>
    <s v="Smartphone"/>
  </r>
  <r>
    <s v="ORD0063"/>
    <s v="CUST004"/>
    <s v="PROD005"/>
    <x v="1"/>
    <n v="27"/>
    <n v="1"/>
    <n v="27"/>
    <s v="Debit Card"/>
    <x v="2"/>
    <s v="Amazon Logistics"/>
    <d v="2023-05-02T00:00:00"/>
    <m/>
    <m/>
    <x v="1"/>
    <s v="NA"/>
    <s v="Cancelled"/>
    <s v="Noah Wilson"/>
    <x v="2"/>
    <s v="T-Shirt"/>
  </r>
  <r>
    <s v="ORD0064"/>
    <s v="CUST048"/>
    <s v="PROD003"/>
    <x v="4"/>
    <n v="139"/>
    <n v="5"/>
    <n v="695"/>
    <s v="Apple Pay"/>
    <x v="1"/>
    <s v="USPS"/>
    <d v="2023-12-25T00:00:00"/>
    <d v="2023-12-29T00:00:00"/>
    <m/>
    <x v="1"/>
    <n v="4"/>
    <s v="Slow"/>
    <s v="Noah Wilson"/>
    <x v="0"/>
    <s v="Cookware Set"/>
  </r>
  <r>
    <s v="ORD0065"/>
    <s v="CUST009"/>
    <s v="PROD008"/>
    <x v="2"/>
    <n v="69"/>
    <n v="3"/>
    <n v="207"/>
    <s v="PayPal"/>
    <x v="0"/>
    <s v="Amazon Logistics"/>
    <d v="2023-10-18T00:00:00"/>
    <m/>
    <d v="2023-10-20T00:00:00"/>
    <x v="0"/>
    <s v="NA"/>
    <s v="Cancelled"/>
    <s v="Jackson Allen"/>
    <x v="4"/>
    <s v="Textbook"/>
  </r>
  <r>
    <s v="ORD0066"/>
    <s v="CUST009"/>
    <s v="PROD019"/>
    <x v="4"/>
    <n v="42"/>
    <n v="1"/>
    <n v="42"/>
    <s v="Apple Pay"/>
    <x v="0"/>
    <s v="DHL"/>
    <d v="2023-05-20T00:00:00"/>
    <m/>
    <d v="2023-05-21T00:00:00"/>
    <x v="0"/>
    <s v="NA"/>
    <s v="Cancelled"/>
    <s v="Jackson Allen"/>
    <x v="2"/>
    <s v="Formal Shirt"/>
  </r>
  <r>
    <s v="ORD0067"/>
    <s v="CUST050"/>
    <s v="PROD007"/>
    <x v="0"/>
    <n v="31"/>
    <n v="4"/>
    <n v="124"/>
    <s v="Credit Card"/>
    <x v="1"/>
    <s v="UPS"/>
    <d v="2023-07-28T00:00:00"/>
    <d v="2023-07-30T00:00:00"/>
    <m/>
    <x v="1"/>
    <n v="2"/>
    <s v="Fast"/>
    <e v="#N/A"/>
    <x v="1"/>
    <s v="Puzzle"/>
  </r>
  <r>
    <s v="ORD0068"/>
    <s v="CUST045"/>
    <s v="PROD020"/>
    <x v="4"/>
    <n v="104"/>
    <n v="3"/>
    <n v="312"/>
    <s v="Credit Card"/>
    <x v="2"/>
    <s v="UPS"/>
    <d v="2023-12-18T00:00:00"/>
    <m/>
    <m/>
    <x v="1"/>
    <s v="NA"/>
    <s v="Cancelled"/>
    <s v="Emily Johnson"/>
    <x v="3"/>
    <s v="Bluetooth Speaker"/>
  </r>
  <r>
    <s v="ORD0069"/>
    <s v="CUST044"/>
    <s v="PROD010"/>
    <x v="1"/>
    <n v="58"/>
    <n v="2"/>
    <n v="116"/>
    <s v="Apple Pay"/>
    <x v="0"/>
    <s v="USPS"/>
    <d v="2023-07-02T00:00:00"/>
    <m/>
    <d v="2023-07-07T00:00:00"/>
    <x v="0"/>
    <s v="NA"/>
    <s v="Cancelled"/>
    <s v="Grace Ward"/>
    <x v="2"/>
    <s v="Jeans"/>
  </r>
  <r>
    <s v="ORD0070"/>
    <s v="CUST009"/>
    <s v="PROD004"/>
    <x v="4"/>
    <n v="62"/>
    <n v="2"/>
    <n v="124"/>
    <s v="Debit Card"/>
    <x v="0"/>
    <s v="DHL"/>
    <d v="2023-10-09T00:00:00"/>
    <m/>
    <d v="2023-10-10T00:00:00"/>
    <x v="0"/>
    <s v="NA"/>
    <s v="Cancelled"/>
    <s v="Jackson Allen"/>
    <x v="1"/>
    <s v="Leg Set"/>
  </r>
  <r>
    <s v="ORD0071"/>
    <s v="CUST006"/>
    <s v="PROD019"/>
    <x v="1"/>
    <n v="43"/>
    <n v="1"/>
    <n v="43"/>
    <s v="Credit Card"/>
    <x v="1"/>
    <s v="Amazon Logistics"/>
    <d v="2023-12-18T00:00:00"/>
    <d v="2023-12-25T00:00:00"/>
    <m/>
    <x v="1"/>
    <n v="7"/>
    <s v="Slow"/>
    <s v="Ava Robinson"/>
    <x v="2"/>
    <s v="Formal Shirt"/>
  </r>
  <r>
    <s v="ORD0072"/>
    <s v="CUST022"/>
    <s v="PROD004"/>
    <x v="1"/>
    <n v="62"/>
    <n v="4"/>
    <n v="248"/>
    <s v="Debit Card"/>
    <x v="2"/>
    <s v="Amazon Logistics"/>
    <d v="2023-03-07T00:00:00"/>
    <m/>
    <m/>
    <x v="1"/>
    <s v="NA"/>
    <s v="Cancelled"/>
    <s v="Elijah Lewis"/>
    <x v="1"/>
    <s v="Leg Set"/>
  </r>
  <r>
    <s v="ORD0073"/>
    <s v="CUST028"/>
    <s v="PROD006"/>
    <x v="0"/>
    <n v="95"/>
    <n v="2"/>
    <n v="190"/>
    <s v="PayPal"/>
    <x v="0"/>
    <s v="UPS"/>
    <d v="2023-07-22T00:00:00"/>
    <m/>
    <d v="2023-07-25T00:00:00"/>
    <x v="0"/>
    <s v="NA"/>
    <s v="Cancelled"/>
    <s v="Lily Bennett"/>
    <x v="2"/>
    <s v="Shoes"/>
  </r>
  <r>
    <s v="ORD0074"/>
    <s v="CUST016"/>
    <s v="PROD021"/>
    <x v="3"/>
    <n v="36"/>
    <n v="4"/>
    <n v="144"/>
    <s v="Apple Pay"/>
    <x v="1"/>
    <s v="FedEx"/>
    <d v="2023-01-18T00:00:00"/>
    <d v="2023-01-24T00:00:00"/>
    <m/>
    <x v="1"/>
    <n v="6"/>
    <s v="Slow"/>
    <s v="Elijah Lewis"/>
    <x v="0"/>
    <s v="Wall Clock"/>
  </r>
  <r>
    <s v="ORD0075"/>
    <s v="CUST042"/>
    <s v="PROD017"/>
    <x v="1"/>
    <n v="73"/>
    <n v="5"/>
    <n v="365"/>
    <s v="Apple Pay"/>
    <x v="2"/>
    <s v="DHL"/>
    <d v="2023-05-24T00:00:00"/>
    <m/>
    <m/>
    <x v="1"/>
    <s v="NA"/>
    <s v="Cancelled"/>
    <s v="Noah Wilson"/>
    <x v="3"/>
    <s v="Gaming Mouse"/>
  </r>
  <r>
    <s v="ORD0076"/>
    <s v="CUST023"/>
    <s v="PROD019"/>
    <x v="0"/>
    <n v="43"/>
    <n v="4"/>
    <n v="172"/>
    <s v="Debit Card"/>
    <x v="1"/>
    <s v="DHL"/>
    <d v="2023-09-03T00:00:00"/>
    <d v="2023-09-09T00:00:00"/>
    <m/>
    <x v="1"/>
    <n v="6"/>
    <s v="Slow"/>
    <s v="Charlotte Reed"/>
    <x v="2"/>
    <s v="Formal Shirt"/>
  </r>
  <r>
    <s v="ORD0077"/>
    <s v="CUST004"/>
    <s v="PROD016"/>
    <x v="4"/>
    <n v="214"/>
    <n v="5"/>
    <n v="1070"/>
    <s v="Debit Card"/>
    <x v="1"/>
    <s v="UPS"/>
    <d v="2023-11-02T00:00:00"/>
    <d v="2023-11-04T00:00:00"/>
    <m/>
    <x v="1"/>
    <n v="2"/>
    <s v="Fast"/>
    <s v="Noah Wilson"/>
    <x v="0"/>
    <s v="Cookware Set Pro"/>
  </r>
  <r>
    <s v="ORD0078"/>
    <s v="CUST048"/>
    <s v="PROD002"/>
    <x v="3"/>
    <n v="42"/>
    <n v="2"/>
    <n v="84"/>
    <s v="Apple Pay"/>
    <x v="0"/>
    <s v="UPS"/>
    <d v="2023-12-03T00:00:00"/>
    <m/>
    <d v="2023-12-06T00:00:00"/>
    <x v="0"/>
    <s v="NA"/>
    <s v="Cancelled"/>
    <s v="Noah Wilson"/>
    <x v="1"/>
    <s v="Action Figure"/>
  </r>
  <r>
    <s v="ORD0079"/>
    <s v="CUST048"/>
    <s v="PROD012"/>
    <x v="0"/>
    <n v="46"/>
    <n v="1"/>
    <n v="46"/>
    <s v="Amazon Pay"/>
    <x v="2"/>
    <s v="UPS"/>
    <d v="2023-04-01T00:00:00"/>
    <m/>
    <m/>
    <x v="1"/>
    <s v="NA"/>
    <s v="Cancelled"/>
    <s v="Noah Wilson"/>
    <x v="0"/>
    <s v="Lamp"/>
  </r>
  <r>
    <s v="ORD0080"/>
    <s v="CUST032"/>
    <s v="PROD018"/>
    <x v="1"/>
    <n v="95"/>
    <n v="4"/>
    <n v="380"/>
    <s v="Credit Card"/>
    <x v="1"/>
    <s v="UPS"/>
    <d v="2023-10-16T00:00:00"/>
    <d v="2023-10-19T00:00:00"/>
    <m/>
    <x v="1"/>
    <n v="3"/>
    <s v="Slow"/>
    <s v="Luke Gray"/>
    <x v="1"/>
    <s v="Doll House"/>
  </r>
  <r>
    <s v="ORD0081"/>
    <s v="CUST001"/>
    <s v="PROD011"/>
    <x v="4"/>
    <n v="174"/>
    <n v="2"/>
    <n v="348"/>
    <s v="PayPal"/>
    <x v="2"/>
    <s v="UPS"/>
    <d v="2023-11-05T00:00:00"/>
    <m/>
    <m/>
    <x v="1"/>
    <s v="NA"/>
    <s v="Cancelled"/>
    <s v="James Miller"/>
    <x v="3"/>
    <s v="Headphones"/>
  </r>
  <r>
    <s v="ORD0082"/>
    <s v="CUST046"/>
    <s v="PROD005"/>
    <x v="0"/>
    <n v="27"/>
    <n v="5"/>
    <n v="135"/>
    <s v="Credit Card"/>
    <x v="0"/>
    <s v="Amazon Logistics"/>
    <d v="2023-06-15T00:00:00"/>
    <m/>
    <d v="2023-06-18T00:00:00"/>
    <x v="0"/>
    <s v="NA"/>
    <s v="Cancelled"/>
    <s v="Emily Johnson"/>
    <x v="2"/>
    <s v="T-Shirt"/>
  </r>
  <r>
    <s v="ORD0083"/>
    <s v="CUST021"/>
    <s v="PROD005"/>
    <x v="2"/>
    <n v="27"/>
    <n v="4"/>
    <n v="108"/>
    <s v="PayPal"/>
    <x v="1"/>
    <s v="USPS"/>
    <d v="2023-10-28T00:00:00"/>
    <d v="2023-10-30T00:00:00"/>
    <m/>
    <x v="1"/>
    <n v="2"/>
    <s v="Fast"/>
    <s v="Zoe Mitchell"/>
    <x v="2"/>
    <s v="T-Shirt"/>
  </r>
  <r>
    <s v="ORD0084"/>
    <s v="CUST015"/>
    <s v="PROD022"/>
    <x v="2"/>
    <n v="65"/>
    <n v="2"/>
    <n v="130"/>
    <s v="PayPal"/>
    <x v="2"/>
    <s v="DHL"/>
    <d v="2023-12-22T00:00:00"/>
    <m/>
    <m/>
    <x v="1"/>
    <s v="NA"/>
    <s v="Cancelled"/>
    <s v="Ava White"/>
    <x v="2"/>
    <s v="Backpack"/>
  </r>
  <r>
    <s v="ORD0085"/>
    <s v="CUST045"/>
    <s v="PROD019"/>
    <x v="1"/>
    <n v="43"/>
    <n v="5"/>
    <n v="215"/>
    <s v="Debit Card"/>
    <x v="2"/>
    <s v="DHL"/>
    <d v="2023-03-07T00:00:00"/>
    <m/>
    <m/>
    <x v="1"/>
    <s v="NA"/>
    <s v="Cancelled"/>
    <s v="Emily Johnson"/>
    <x v="2"/>
    <s v="Formal Shirt"/>
  </r>
  <r>
    <s v="ORD0086"/>
    <s v="CUST007"/>
    <s v="PROD016"/>
    <x v="4"/>
    <n v="210"/>
    <n v="1"/>
    <n v="210"/>
    <s v="PayPal"/>
    <x v="2"/>
    <s v="UPS"/>
    <d v="2023-11-10T00:00:00"/>
    <m/>
    <m/>
    <x v="1"/>
    <s v="NA"/>
    <s v="Cancelled"/>
    <s v="Liam Walker"/>
    <x v="0"/>
    <s v="Cookware Set Pro"/>
  </r>
  <r>
    <s v="ORD0087"/>
    <s v="CUST043"/>
    <s v="PROD021"/>
    <x v="2"/>
    <n v="37"/>
    <n v="3"/>
    <n v="111"/>
    <s v="Credit Card"/>
    <x v="2"/>
    <s v="UPS"/>
    <d v="2023-11-22T00:00:00"/>
    <m/>
    <m/>
    <x v="1"/>
    <s v="NA"/>
    <s v="Cancelled"/>
    <s v="Lily Reed"/>
    <x v="0"/>
    <s v="Wall Clock"/>
  </r>
  <r>
    <s v="ORD0088"/>
    <s v="CUST007"/>
    <s v="PROD001"/>
    <x v="2"/>
    <n v="788"/>
    <n v="4"/>
    <n v="3152"/>
    <s v="Debit Card"/>
    <x v="2"/>
    <s v="Amazon Logistics"/>
    <d v="2023-05-08T00:00:00"/>
    <m/>
    <m/>
    <x v="1"/>
    <s v="NA"/>
    <s v="Cancelled"/>
    <s v="Liam Walker"/>
    <x v="3"/>
    <s v="Smartphone"/>
  </r>
  <r>
    <s v="ORD0089"/>
    <s v="CUST007"/>
    <s v="PROD016"/>
    <x v="4"/>
    <n v="217"/>
    <n v="5"/>
    <n v="1085"/>
    <s v="Debit Card"/>
    <x v="2"/>
    <s v="FedEx"/>
    <d v="2023-07-13T00:00:00"/>
    <m/>
    <m/>
    <x v="1"/>
    <s v="NA"/>
    <s v="Cancelled"/>
    <s v="Liam Walker"/>
    <x v="0"/>
    <s v="Cookware Set Pro"/>
  </r>
  <r>
    <s v="ORD0090"/>
    <s v="CUST007"/>
    <s v="PROD003"/>
    <x v="4"/>
    <n v="138"/>
    <n v="4"/>
    <n v="552"/>
    <s v="Credit Card"/>
    <x v="2"/>
    <s v="FedEx"/>
    <d v="2023-01-18T00:00:00"/>
    <m/>
    <m/>
    <x v="1"/>
    <s v="NA"/>
    <s v="Cancelled"/>
    <s v="Liam Walker"/>
    <x v="0"/>
    <s v="Cookware Set"/>
  </r>
  <r>
    <s v="ORD0091"/>
    <s v="CUST031"/>
    <s v="PROD001"/>
    <x v="3"/>
    <n v="803"/>
    <n v="2"/>
    <n v="1606"/>
    <s v="Apple Pay"/>
    <x v="1"/>
    <s v="FedEx"/>
    <d v="2023-06-23T00:00:00"/>
    <d v="2023-06-29T00:00:00"/>
    <m/>
    <x v="1"/>
    <n v="6"/>
    <s v="Slow"/>
    <s v="Mason Collins"/>
    <x v="3"/>
    <s v="Smartphone"/>
  </r>
  <r>
    <s v="ORD0092"/>
    <s v="CUST013"/>
    <s v="PROD014"/>
    <x v="0"/>
    <n v="248"/>
    <n v="5"/>
    <n v="1240"/>
    <s v="PayPal"/>
    <x v="0"/>
    <s v="UPS"/>
    <d v="2023-02-21T00:00:00"/>
    <m/>
    <d v="2023-02-25T00:00:00"/>
    <x v="0"/>
    <s v="NA"/>
    <s v="Cancelled"/>
    <s v="Olivia Martinez"/>
    <x v="3"/>
    <s v="Smartwatch"/>
  </r>
  <r>
    <s v="ORD0093"/>
    <s v="CUST036"/>
    <s v="PROD016"/>
    <x v="1"/>
    <n v="210"/>
    <n v="3"/>
    <n v="630"/>
    <s v="Apple Pay"/>
    <x v="1"/>
    <s v="DHL"/>
    <d v="2023-02-19T00:00:00"/>
    <d v="2023-02-21T00:00:00"/>
    <m/>
    <x v="1"/>
    <n v="2"/>
    <s v="Fast"/>
    <s v="Ethan Davis"/>
    <x v="0"/>
    <s v="Cookware Set Pro"/>
  </r>
  <r>
    <s v="ORD0094"/>
    <s v="CUST013"/>
    <s v="PROD004"/>
    <x v="0"/>
    <n v="62"/>
    <n v="2"/>
    <n v="124"/>
    <s v="Credit Card"/>
    <x v="0"/>
    <s v="FedEx"/>
    <d v="2023-12-05T00:00:00"/>
    <m/>
    <d v="2023-12-12T00:00:00"/>
    <x v="0"/>
    <s v="NA"/>
    <s v="Cancelled"/>
    <s v="Olivia Martinez"/>
    <x v="1"/>
    <s v="Leg Set"/>
  </r>
  <r>
    <s v="ORD0095"/>
    <s v="CUST043"/>
    <s v="PROD009"/>
    <x v="2"/>
    <n v="11"/>
    <n v="5"/>
    <n v="55"/>
    <s v="Debit Card"/>
    <x v="0"/>
    <s v="Amazon Logistics"/>
    <d v="2023-06-07T00:00:00"/>
    <m/>
    <d v="2023-06-12T00:00:00"/>
    <x v="0"/>
    <s v="NA"/>
    <s v="Cancelled"/>
    <s v="Lily Reed"/>
    <x v="4"/>
    <s v="Magazine"/>
  </r>
  <r>
    <s v="ORD0096"/>
    <s v="CUST017"/>
    <s v="PROD015"/>
    <x v="0"/>
    <n v="21"/>
    <n v="2"/>
    <n v="42"/>
    <s v="Amazon Pay"/>
    <x v="1"/>
    <s v="UPS"/>
    <d v="2023-07-09T00:00:00"/>
    <d v="2023-07-12T00:00:00"/>
    <m/>
    <x v="1"/>
    <n v="3"/>
    <s v="Slow"/>
    <s v="Emma King"/>
    <x v="4"/>
    <s v="Novel"/>
  </r>
  <r>
    <s v="ORD0097"/>
    <s v="CUST023"/>
    <s v="PROD018"/>
    <x v="4"/>
    <n v="95"/>
    <n v="5"/>
    <n v="475"/>
    <s v="Amazon Pay"/>
    <x v="1"/>
    <s v="Amazon Logistics"/>
    <d v="2023-12-23T00:00:00"/>
    <d v="2023-12-26T00:00:00"/>
    <m/>
    <x v="1"/>
    <n v="3"/>
    <s v="Slow"/>
    <s v="Charlotte Reed"/>
    <x v="1"/>
    <s v="Doll House"/>
  </r>
  <r>
    <s v="ORD0098"/>
    <s v="CUST044"/>
    <s v="PROD016"/>
    <x v="2"/>
    <n v="215"/>
    <n v="2"/>
    <n v="430"/>
    <s v="PayPal"/>
    <x v="1"/>
    <s v="Amazon Logistics"/>
    <d v="2023-09-25T00:00:00"/>
    <d v="2023-09-30T00:00:00"/>
    <m/>
    <x v="1"/>
    <n v="5"/>
    <s v="Slow"/>
    <s v="Grace Ward"/>
    <x v="0"/>
    <s v="Cookware Set Pro"/>
  </r>
  <r>
    <s v="ORD0099"/>
    <s v="CUST034"/>
    <s v="PROD019"/>
    <x v="4"/>
    <n v="43"/>
    <n v="5"/>
    <n v="215"/>
    <s v="Credit Card"/>
    <x v="0"/>
    <s v="UPS"/>
    <d v="2023-01-18T00:00:00"/>
    <m/>
    <d v="2023-01-24T00:00:00"/>
    <x v="0"/>
    <s v="NA"/>
    <s v="Cancelled"/>
    <s v="Lily Simmons"/>
    <x v="2"/>
    <s v="Formal Shirt"/>
  </r>
  <r>
    <s v="ORD0100"/>
    <s v="CUST009"/>
    <s v="PROD002"/>
    <x v="4"/>
    <n v="42"/>
    <n v="4"/>
    <n v="168"/>
    <s v="Debit Card"/>
    <x v="2"/>
    <s v="DHL"/>
    <d v="2023-03-27T00:00:00"/>
    <m/>
    <m/>
    <x v="1"/>
    <s v="NA"/>
    <s v="Cancelled"/>
    <s v="Jackson Allen"/>
    <x v="1"/>
    <s v="Action Figur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x v="0"/>
    <x v="0"/>
    <s v="DHL"/>
    <d v="2023-12-31T00:00:00"/>
    <m/>
    <d v="2024-01-02T00:00:00"/>
    <s v="Cancelled"/>
    <s v="NA"/>
    <x v="0"/>
    <s v="Zoe Mitchell"/>
    <x v="0"/>
    <x v="0"/>
    <n v="0"/>
  </r>
  <r>
    <s v="ORD0002"/>
    <s v="CUST029"/>
    <s v="PROD018"/>
    <x v="1"/>
    <n v="96"/>
    <n v="4"/>
    <n v="384"/>
    <x v="1"/>
    <x v="1"/>
    <s v="DHL"/>
    <d v="2023-02-22T00:00:00"/>
    <d v="2023-02-24T00:00:00"/>
    <m/>
    <s v="Delivered"/>
    <n v="2"/>
    <x v="1"/>
    <s v="Ava White"/>
    <x v="1"/>
    <x v="1"/>
    <n v="384"/>
  </r>
  <r>
    <s v="ORD0003"/>
    <s v="CUST021"/>
    <s v="PROD013"/>
    <x v="2"/>
    <n v="194"/>
    <n v="4"/>
    <n v="776"/>
    <x v="1"/>
    <x v="2"/>
    <s v="USPS"/>
    <d v="2023-10-11T00:00:00"/>
    <m/>
    <m/>
    <s v="Delivered"/>
    <s v="NA"/>
    <x v="0"/>
    <s v="Zoe Mitchell"/>
    <x v="0"/>
    <x v="2"/>
    <n v="0"/>
  </r>
  <r>
    <s v="ORD0004"/>
    <s v="CUST044"/>
    <s v="PROD013"/>
    <x v="0"/>
    <n v="196"/>
    <n v="3"/>
    <n v="588"/>
    <x v="2"/>
    <x v="0"/>
    <s v="UPS"/>
    <d v="2023-05-05T00:00:00"/>
    <m/>
    <d v="2023-05-11T00:00:00"/>
    <s v="Cancelled"/>
    <s v="NA"/>
    <x v="0"/>
    <s v="Grace Ward"/>
    <x v="0"/>
    <x v="2"/>
    <n v="0"/>
  </r>
  <r>
    <s v="ORD0005"/>
    <s v="CUST027"/>
    <s v="PROD010"/>
    <x v="0"/>
    <n v="59"/>
    <n v="1"/>
    <n v="59"/>
    <x v="2"/>
    <x v="1"/>
    <s v="Amazon Logistics"/>
    <d v="2023-02-02T00:00:00"/>
    <d v="2023-02-05T00:00:00"/>
    <m/>
    <s v="Delivered"/>
    <n v="3"/>
    <x v="2"/>
    <s v="Hazel Brooks"/>
    <x v="2"/>
    <x v="3"/>
    <n v="59"/>
  </r>
  <r>
    <s v="ORD0006"/>
    <s v="CUST009"/>
    <s v="PROD010"/>
    <x v="0"/>
    <n v="58"/>
    <n v="4"/>
    <n v="232"/>
    <x v="3"/>
    <x v="0"/>
    <s v="DHL"/>
    <d v="2023-11-01T00:00:00"/>
    <m/>
    <d v="2023-11-02T00:00:00"/>
    <s v="Cancelled"/>
    <s v="NA"/>
    <x v="0"/>
    <s v="Jackson Allen"/>
    <x v="2"/>
    <x v="3"/>
    <n v="0"/>
  </r>
  <r>
    <s v="ORD0007"/>
    <s v="CUST042"/>
    <s v="PROD020"/>
    <x v="3"/>
    <n v="105"/>
    <n v="3"/>
    <n v="315"/>
    <x v="4"/>
    <x v="0"/>
    <s v="DHL"/>
    <d v="2023-08-14T00:00:00"/>
    <m/>
    <d v="2023-08-18T00:00:00"/>
    <s v="Cancelled"/>
    <s v="NA"/>
    <x v="0"/>
    <s v="Noah Wilson"/>
    <x v="3"/>
    <x v="4"/>
    <n v="0"/>
  </r>
  <r>
    <s v="ORD0008"/>
    <s v="CUST019"/>
    <s v="PROD021"/>
    <x v="4"/>
    <n v="37"/>
    <n v="5"/>
    <n v="185"/>
    <x v="2"/>
    <x v="0"/>
    <s v="DHL"/>
    <d v="2023-04-01T00:00:00"/>
    <m/>
    <d v="2023-04-06T00:00:00"/>
    <s v="Cancelled"/>
    <s v="NA"/>
    <x v="0"/>
    <s v="Ava Robinson"/>
    <x v="0"/>
    <x v="5"/>
    <n v="0"/>
  </r>
  <r>
    <s v="ORD0009"/>
    <s v="CUST013"/>
    <s v="PROD019"/>
    <x v="3"/>
    <n v="44"/>
    <n v="2"/>
    <n v="88"/>
    <x v="1"/>
    <x v="2"/>
    <s v="Amazon Logistics"/>
    <d v="2023-07-21T00:00:00"/>
    <m/>
    <m/>
    <s v="Delivered"/>
    <s v="NA"/>
    <x v="0"/>
    <s v="Olivia Martinez"/>
    <x v="2"/>
    <x v="6"/>
    <n v="0"/>
  </r>
  <r>
    <s v="ORD0010"/>
    <s v="CUST019"/>
    <s v="PROD003"/>
    <x v="2"/>
    <n v="141"/>
    <n v="4"/>
    <n v="564"/>
    <x v="4"/>
    <x v="2"/>
    <s v="DHL"/>
    <d v="2023-12-29T00:00:00"/>
    <m/>
    <m/>
    <s v="Delivered"/>
    <s v="NA"/>
    <x v="0"/>
    <s v="Ava Robinson"/>
    <x v="0"/>
    <x v="7"/>
    <n v="0"/>
  </r>
  <r>
    <s v="ORD0011"/>
    <s v="CUST046"/>
    <s v="PROD014"/>
    <x v="2"/>
    <n v="249"/>
    <n v="1"/>
    <n v="249"/>
    <x v="3"/>
    <x v="0"/>
    <s v="USPS"/>
    <d v="2023-05-04T00:00:00"/>
    <m/>
    <d v="2023-05-08T00:00:00"/>
    <s v="Cancelled"/>
    <s v="NA"/>
    <x v="0"/>
    <s v="Emily Johnson"/>
    <x v="3"/>
    <x v="8"/>
    <n v="0"/>
  </r>
  <r>
    <s v="ORD0012"/>
    <s v="CUST045"/>
    <s v="PROD014"/>
    <x v="3"/>
    <n v="247"/>
    <n v="3"/>
    <n v="741"/>
    <x v="3"/>
    <x v="2"/>
    <s v="FedEx"/>
    <d v="2023-07-25T00:00:00"/>
    <m/>
    <m/>
    <s v="Delivered"/>
    <s v="NA"/>
    <x v="0"/>
    <s v="Emily Johnson"/>
    <x v="3"/>
    <x v="8"/>
    <n v="0"/>
  </r>
  <r>
    <s v="ORD0013"/>
    <s v="CUST023"/>
    <s v="PROD006"/>
    <x v="3"/>
    <n v="96"/>
    <n v="1"/>
    <n v="96"/>
    <x v="0"/>
    <x v="0"/>
    <s v="Amazon Logistics"/>
    <d v="2023-02-25T00:00:00"/>
    <m/>
    <d v="2023-02-28T00:00:00"/>
    <s v="Cancelled"/>
    <s v="NA"/>
    <x v="0"/>
    <s v="Charlotte Reed"/>
    <x v="2"/>
    <x v="9"/>
    <n v="0"/>
  </r>
  <r>
    <s v="ORD0014"/>
    <s v="CUST033"/>
    <s v="PROD017"/>
    <x v="4"/>
    <n v="74"/>
    <n v="5"/>
    <n v="370"/>
    <x v="0"/>
    <x v="0"/>
    <s v="Amazon Logistics"/>
    <d v="2023-02-24T00:00:00"/>
    <m/>
    <d v="2023-02-25T00:00:00"/>
    <s v="Cancelled"/>
    <s v="NA"/>
    <x v="0"/>
    <s v="Hazel Rivera"/>
    <x v="3"/>
    <x v="10"/>
    <n v="0"/>
  </r>
  <r>
    <s v="ORD0015"/>
    <s v="CUST033"/>
    <s v="PROD005"/>
    <x v="2"/>
    <n v="27"/>
    <n v="1"/>
    <n v="27"/>
    <x v="1"/>
    <x v="0"/>
    <s v="Amazon Logistics"/>
    <d v="2023-08-26T00:00:00"/>
    <m/>
    <d v="2023-09-02T00:00:00"/>
    <s v="Cancelled"/>
    <s v="NA"/>
    <x v="0"/>
    <s v="Hazel Rivera"/>
    <x v="2"/>
    <x v="11"/>
    <n v="0"/>
  </r>
  <r>
    <s v="ORD0016"/>
    <s v="CUST047"/>
    <s v="PROD005"/>
    <x v="2"/>
    <n v="27"/>
    <n v="3"/>
    <n v="81"/>
    <x v="4"/>
    <x v="2"/>
    <s v="Amazon Logistics"/>
    <d v="2023-02-13T00:00:00"/>
    <m/>
    <m/>
    <s v="Delivered"/>
    <s v="NA"/>
    <x v="0"/>
    <s v="Scarlett Murphy"/>
    <x v="2"/>
    <x v="11"/>
    <n v="0"/>
  </r>
  <r>
    <s v="ORD0017"/>
    <s v="CUST045"/>
    <s v="PROD015"/>
    <x v="1"/>
    <n v="21"/>
    <n v="3"/>
    <n v="63"/>
    <x v="1"/>
    <x v="1"/>
    <s v="DHL"/>
    <d v="2023-06-28T00:00:00"/>
    <d v="2023-07-01T00:00:00"/>
    <m/>
    <s v="Delivered"/>
    <n v="3"/>
    <x v="2"/>
    <s v="Emily Johnson"/>
    <x v="4"/>
    <x v="12"/>
    <n v="63"/>
  </r>
  <r>
    <s v="ORD0018"/>
    <s v="CUST011"/>
    <s v="PROD008"/>
    <x v="4"/>
    <n v="70"/>
    <n v="5"/>
    <n v="350"/>
    <x v="2"/>
    <x v="2"/>
    <s v="Amazon Logistics"/>
    <d v="2023-11-28T00:00:00"/>
    <m/>
    <m/>
    <s v="Delivered"/>
    <s v="NA"/>
    <x v="0"/>
    <s v="Mason Hall"/>
    <x v="4"/>
    <x v="13"/>
    <n v="0"/>
  </r>
  <r>
    <s v="ORD0019"/>
    <s v="CUST041"/>
    <s v="PROD006"/>
    <x v="2"/>
    <n v="94"/>
    <n v="4"/>
    <n v="376"/>
    <x v="1"/>
    <x v="2"/>
    <s v="USPS"/>
    <d v="2023-08-25T00:00:00"/>
    <m/>
    <m/>
    <s v="Delivered"/>
    <s v="NA"/>
    <x v="0"/>
    <s v="Jacob Price"/>
    <x v="2"/>
    <x v="9"/>
    <n v="0"/>
  </r>
  <r>
    <s v="ORD0020"/>
    <s v="CUST025"/>
    <s v="PROD001"/>
    <x v="0"/>
    <n v="813"/>
    <n v="2"/>
    <n v="1626"/>
    <x v="1"/>
    <x v="2"/>
    <s v="FedEx"/>
    <d v="2023-04-12T00:00:00"/>
    <m/>
    <m/>
    <s v="Delivered"/>
    <s v="NA"/>
    <x v="0"/>
    <s v="Emma King"/>
    <x v="3"/>
    <x v="14"/>
    <n v="0"/>
  </r>
  <r>
    <s v="ORD0021"/>
    <s v="CUST013"/>
    <s v="PROD015"/>
    <x v="3"/>
    <n v="21"/>
    <n v="4"/>
    <n v="84"/>
    <x v="2"/>
    <x v="2"/>
    <s v="Amazon Logistics"/>
    <d v="2023-10-02T00:00:00"/>
    <m/>
    <m/>
    <s v="Delivered"/>
    <s v="NA"/>
    <x v="0"/>
    <s v="Olivia Martinez"/>
    <x v="4"/>
    <x v="12"/>
    <n v="0"/>
  </r>
  <r>
    <s v="ORD0022"/>
    <s v="CUST023"/>
    <s v="PROD012"/>
    <x v="4"/>
    <n v="46"/>
    <n v="5"/>
    <n v="230"/>
    <x v="2"/>
    <x v="2"/>
    <s v="USPS"/>
    <d v="2023-11-09T00:00:00"/>
    <m/>
    <m/>
    <s v="Delivered"/>
    <s v="NA"/>
    <x v="0"/>
    <s v="Charlotte Reed"/>
    <x v="0"/>
    <x v="0"/>
    <n v="0"/>
  </r>
  <r>
    <s v="ORD0023"/>
    <s v="CUST016"/>
    <s v="PROD010"/>
    <x v="4"/>
    <n v="58"/>
    <n v="3"/>
    <n v="174"/>
    <x v="3"/>
    <x v="0"/>
    <s v="Amazon Logistics"/>
    <d v="2023-02-13T00:00:00"/>
    <m/>
    <d v="2023-02-14T00:00:00"/>
    <s v="Cancelled"/>
    <s v="NA"/>
    <x v="0"/>
    <s v="Elijah Lewis"/>
    <x v="2"/>
    <x v="3"/>
    <n v="0"/>
  </r>
  <r>
    <s v="ORD0024"/>
    <s v="CUST028"/>
    <s v="PROD006"/>
    <x v="4"/>
    <n v="96"/>
    <n v="5"/>
    <n v="480"/>
    <x v="3"/>
    <x v="1"/>
    <s v="Amazon Logistics"/>
    <d v="2023-11-02T00:00:00"/>
    <d v="2023-11-05T00:00:00"/>
    <m/>
    <s v="Delivered"/>
    <n v="3"/>
    <x v="2"/>
    <s v="Lily Bennett"/>
    <x v="2"/>
    <x v="9"/>
    <n v="480"/>
  </r>
  <r>
    <s v="ORD0025"/>
    <s v="CUST040"/>
    <s v="PROD002"/>
    <x v="2"/>
    <n v="43"/>
    <n v="1"/>
    <n v="43"/>
    <x v="4"/>
    <x v="1"/>
    <s v="Amazon Logistics"/>
    <d v="2023-05-28T00:00:00"/>
    <d v="2023-05-30T00:00:00"/>
    <m/>
    <s v="Delivered"/>
    <n v="2"/>
    <x v="1"/>
    <s v="Benjamin Clark"/>
    <x v="1"/>
    <x v="15"/>
    <n v="43"/>
  </r>
  <r>
    <s v="ORD0026"/>
    <s v="CUST027"/>
    <s v="PROD022"/>
    <x v="2"/>
    <n v="64"/>
    <n v="4"/>
    <n v="256"/>
    <x v="4"/>
    <x v="1"/>
    <s v="USPS"/>
    <d v="2023-10-15T00:00:00"/>
    <d v="2023-10-21T00:00:00"/>
    <m/>
    <s v="Delivered"/>
    <n v="6"/>
    <x v="2"/>
    <s v="Hazel Brooks"/>
    <x v="2"/>
    <x v="16"/>
    <n v="256"/>
  </r>
  <r>
    <s v="ORD0027"/>
    <s v="CUST018"/>
    <s v="PROD008"/>
    <x v="2"/>
    <n v="70"/>
    <n v="2"/>
    <n v="140"/>
    <x v="3"/>
    <x v="2"/>
    <s v="Amazon Logistics"/>
    <d v="2023-01-16T00:00:00"/>
    <m/>
    <m/>
    <s v="Delivered"/>
    <s v="NA"/>
    <x v="0"/>
    <s v="Grace Scott"/>
    <x v="4"/>
    <x v="13"/>
    <n v="0"/>
  </r>
  <r>
    <s v="ORD0028"/>
    <s v="CUST018"/>
    <s v="PROD018"/>
    <x v="3"/>
    <n v="97"/>
    <n v="3"/>
    <n v="291"/>
    <x v="1"/>
    <x v="2"/>
    <s v="Amazon Logistics"/>
    <d v="2023-10-09T00:00:00"/>
    <m/>
    <m/>
    <s v="Delivered"/>
    <s v="NA"/>
    <x v="0"/>
    <s v="Grace Scott"/>
    <x v="1"/>
    <x v="1"/>
    <n v="0"/>
  </r>
  <r>
    <s v="ORD0029"/>
    <s v="CUST007"/>
    <s v="PROD021"/>
    <x v="1"/>
    <n v="37"/>
    <n v="3"/>
    <n v="111"/>
    <x v="0"/>
    <x v="0"/>
    <s v="DHL"/>
    <d v="2023-10-07T00:00:00"/>
    <m/>
    <d v="2023-10-10T00:00:00"/>
    <s v="Cancelled"/>
    <s v="NA"/>
    <x v="0"/>
    <s v="Liam Walker"/>
    <x v="0"/>
    <x v="5"/>
    <n v="0"/>
  </r>
  <r>
    <s v="ORD0030"/>
    <s v="CUST008"/>
    <s v="PROD008"/>
    <x v="0"/>
    <n v="69"/>
    <n v="5"/>
    <n v="345"/>
    <x v="3"/>
    <x v="2"/>
    <s v="Amazon Logistics"/>
    <d v="2023-02-14T00:00:00"/>
    <m/>
    <m/>
    <s v="Delivered"/>
    <s v="NA"/>
    <x v="0"/>
    <s v="Harper Young"/>
    <x v="4"/>
    <x v="13"/>
    <n v="0"/>
  </r>
  <r>
    <s v="ORD0031"/>
    <s v="CUST014"/>
    <s v="PROD002"/>
    <x v="0"/>
    <n v="42"/>
    <n v="5"/>
    <n v="210"/>
    <x v="3"/>
    <x v="2"/>
    <s v="UPS"/>
    <d v="2023-03-26T00:00:00"/>
    <m/>
    <m/>
    <s v="Delivered"/>
    <s v="NA"/>
    <x v="0"/>
    <s v="Harper Young"/>
    <x v="1"/>
    <x v="15"/>
    <n v="0"/>
  </r>
  <r>
    <s v="ORD0032"/>
    <s v="CUST037"/>
    <s v="PROD009"/>
    <x v="1"/>
    <n v="11"/>
    <n v="5"/>
    <n v="55"/>
    <x v="4"/>
    <x v="0"/>
    <s v="FedEx"/>
    <d v="2023-06-15T00:00:00"/>
    <m/>
    <d v="2023-06-22T00:00:00"/>
    <s v="Cancelled"/>
    <s v="NA"/>
    <x v="0"/>
    <s v="Emily Johnson"/>
    <x v="4"/>
    <x v="17"/>
    <n v="0"/>
  </r>
  <r>
    <s v="ORD0033"/>
    <s v="CUST016"/>
    <s v="PROD005"/>
    <x v="2"/>
    <n v="27"/>
    <n v="2"/>
    <n v="54"/>
    <x v="0"/>
    <x v="1"/>
    <s v="USPS"/>
    <d v="2023-05-22T00:00:00"/>
    <d v="2023-05-23T00:00:00"/>
    <m/>
    <s v="Delivered"/>
    <n v="1"/>
    <x v="1"/>
    <s v="Elijah Lewis"/>
    <x v="2"/>
    <x v="11"/>
    <n v="54"/>
  </r>
  <r>
    <s v="ORD0034"/>
    <s v="CUST025"/>
    <s v="PROD015"/>
    <x v="2"/>
    <n v="21"/>
    <n v="1"/>
    <n v="21"/>
    <x v="3"/>
    <x v="2"/>
    <s v="DHL"/>
    <d v="2023-11-20T00:00:00"/>
    <m/>
    <m/>
    <s v="Delivered"/>
    <s v="NA"/>
    <x v="0"/>
    <s v="Emma King"/>
    <x v="4"/>
    <x v="12"/>
    <n v="0"/>
  </r>
  <r>
    <s v="ORD0035"/>
    <s v="CUST032"/>
    <s v="PROD011"/>
    <x v="2"/>
    <n v="172"/>
    <n v="1"/>
    <n v="172"/>
    <x v="2"/>
    <x v="1"/>
    <s v="USPS"/>
    <d v="2023-12-22T00:00:00"/>
    <d v="2023-12-26T00:00:00"/>
    <m/>
    <s v="Delivered"/>
    <n v="4"/>
    <x v="2"/>
    <s v="Luke Gray"/>
    <x v="3"/>
    <x v="18"/>
    <n v="172"/>
  </r>
  <r>
    <s v="ORD0036"/>
    <s v="CUST014"/>
    <s v="PROD016"/>
    <x v="0"/>
    <n v="212"/>
    <n v="3"/>
    <n v="636"/>
    <x v="3"/>
    <x v="2"/>
    <s v="UPS"/>
    <d v="2023-07-23T00:00:00"/>
    <m/>
    <m/>
    <s v="Delivered"/>
    <s v="NA"/>
    <x v="0"/>
    <s v="Harper Young"/>
    <x v="0"/>
    <x v="19"/>
    <n v="0"/>
  </r>
  <r>
    <s v="ORD0037"/>
    <s v="CUST044"/>
    <s v="PROD002"/>
    <x v="1"/>
    <n v="41"/>
    <n v="4"/>
    <n v="164"/>
    <x v="1"/>
    <x v="1"/>
    <s v="Amazon Logistics"/>
    <d v="2023-10-17T00:00:00"/>
    <d v="2023-10-22T00:00:00"/>
    <m/>
    <s v="Delivered"/>
    <n v="5"/>
    <x v="2"/>
    <s v="Grace Ward"/>
    <x v="1"/>
    <x v="15"/>
    <n v="164"/>
  </r>
  <r>
    <s v="ORD0038"/>
    <s v="CUST028"/>
    <s v="PROD007"/>
    <x v="0"/>
    <n v="32"/>
    <n v="2"/>
    <n v="64"/>
    <x v="4"/>
    <x v="0"/>
    <s v="FedEx"/>
    <d v="2023-08-22T00:00:00"/>
    <m/>
    <d v="2023-08-24T00:00:00"/>
    <s v="Cancelled"/>
    <s v="NA"/>
    <x v="0"/>
    <s v="Lily Bennett"/>
    <x v="1"/>
    <x v="20"/>
    <n v="0"/>
  </r>
  <r>
    <s v="ORD0039"/>
    <s v="CUST024"/>
    <s v="PROD022"/>
    <x v="1"/>
    <n v="66"/>
    <n v="2"/>
    <n v="132"/>
    <x v="0"/>
    <x v="2"/>
    <s v="DHL"/>
    <d v="2023-12-02T00:00:00"/>
    <m/>
    <m/>
    <s v="Delivered"/>
    <s v="NA"/>
    <x v="0"/>
    <s v="Scarlett Murphy"/>
    <x v="2"/>
    <x v="16"/>
    <n v="0"/>
  </r>
  <r>
    <s v="ORD0040"/>
    <s v="CUST006"/>
    <s v="PROD004"/>
    <x v="1"/>
    <n v="62"/>
    <n v="4"/>
    <n v="248"/>
    <x v="4"/>
    <x v="2"/>
    <s v="UPS"/>
    <d v="2023-12-25T00:00:00"/>
    <m/>
    <m/>
    <s v="Delivered"/>
    <s v="NA"/>
    <x v="0"/>
    <s v="Ava Robinson"/>
    <x v="1"/>
    <x v="21"/>
    <n v="0"/>
  </r>
  <r>
    <s v="ORD0041"/>
    <s v="CUST001"/>
    <s v="PROD011"/>
    <x v="4"/>
    <n v="173"/>
    <n v="4"/>
    <n v="692"/>
    <x v="0"/>
    <x v="1"/>
    <s v="UPS"/>
    <d v="2023-09-23T00:00:00"/>
    <d v="2023-09-30T00:00:00"/>
    <m/>
    <s v="Delivered"/>
    <n v="7"/>
    <x v="2"/>
    <s v="James Miller"/>
    <x v="3"/>
    <x v="18"/>
    <n v="692"/>
  </r>
  <r>
    <s v="ORD0042"/>
    <s v="CUST007"/>
    <s v="PROD004"/>
    <x v="4"/>
    <n v="63"/>
    <n v="3"/>
    <n v="189"/>
    <x v="0"/>
    <x v="1"/>
    <s v="UPS"/>
    <d v="2023-07-16T00:00:00"/>
    <d v="2023-07-18T00:00:00"/>
    <m/>
    <s v="Delivered"/>
    <n v="2"/>
    <x v="1"/>
    <s v="Liam Walker"/>
    <x v="1"/>
    <x v="21"/>
    <n v="189"/>
  </r>
  <r>
    <s v="ORD0043"/>
    <s v="CUST040"/>
    <s v="PROD021"/>
    <x v="4"/>
    <n v="36"/>
    <n v="3"/>
    <n v="108"/>
    <x v="4"/>
    <x v="0"/>
    <s v="USPS"/>
    <d v="2023-02-05T00:00:00"/>
    <m/>
    <d v="2023-02-11T00:00:00"/>
    <s v="Cancelled"/>
    <s v="NA"/>
    <x v="0"/>
    <s v="Benjamin Clark"/>
    <x v="0"/>
    <x v="5"/>
    <n v="0"/>
  </r>
  <r>
    <s v="ORD0044"/>
    <s v="CUST006"/>
    <s v="PROD004"/>
    <x v="3"/>
    <n v="62"/>
    <n v="1"/>
    <n v="62"/>
    <x v="0"/>
    <x v="0"/>
    <s v="Amazon Logistics"/>
    <d v="2023-12-18T00:00:00"/>
    <m/>
    <d v="2023-12-23T00:00:00"/>
    <s v="Cancelled"/>
    <s v="NA"/>
    <x v="0"/>
    <s v="Ava Robinson"/>
    <x v="1"/>
    <x v="21"/>
    <n v="0"/>
  </r>
  <r>
    <s v="ORD0045"/>
    <s v="CUST042"/>
    <s v="PROD003"/>
    <x v="3"/>
    <n v="137"/>
    <n v="5"/>
    <n v="685"/>
    <x v="3"/>
    <x v="0"/>
    <s v="FedEx"/>
    <d v="2023-06-11T00:00:00"/>
    <m/>
    <d v="2023-06-14T00:00:00"/>
    <s v="Cancelled"/>
    <s v="NA"/>
    <x v="0"/>
    <s v="Noah Wilson"/>
    <x v="0"/>
    <x v="7"/>
    <n v="0"/>
  </r>
  <r>
    <s v="ORD0046"/>
    <s v="CUST039"/>
    <s v="PROD017"/>
    <x v="0"/>
    <n v="73"/>
    <n v="4"/>
    <n v="292"/>
    <x v="1"/>
    <x v="1"/>
    <s v="Amazon Logistics"/>
    <d v="2023-12-04T00:00:00"/>
    <d v="2023-12-08T00:00:00"/>
    <m/>
    <s v="Delivered"/>
    <n v="4"/>
    <x v="2"/>
    <s v="Logan Ramirez"/>
    <x v="3"/>
    <x v="10"/>
    <n v="292"/>
  </r>
  <r>
    <s v="ORD0047"/>
    <s v="CUST041"/>
    <s v="PROD020"/>
    <x v="0"/>
    <n v="104"/>
    <n v="1"/>
    <n v="104"/>
    <x v="2"/>
    <x v="1"/>
    <s v="Amazon Logistics"/>
    <d v="2023-07-17T00:00:00"/>
    <d v="2023-07-19T00:00:00"/>
    <m/>
    <s v="Delivered"/>
    <n v="2"/>
    <x v="1"/>
    <s v="Jacob Price"/>
    <x v="3"/>
    <x v="4"/>
    <n v="104"/>
  </r>
  <r>
    <s v="ORD0048"/>
    <s v="CUST044"/>
    <s v="PROD006"/>
    <x v="1"/>
    <n v="97"/>
    <n v="1"/>
    <n v="97"/>
    <x v="3"/>
    <x v="1"/>
    <s v="FedEx"/>
    <d v="2023-10-19T00:00:00"/>
    <d v="2023-10-24T00:00:00"/>
    <m/>
    <s v="Delivered"/>
    <n v="5"/>
    <x v="2"/>
    <s v="Grace Ward"/>
    <x v="2"/>
    <x v="9"/>
    <n v="97"/>
  </r>
  <r>
    <s v="ORD0049"/>
    <s v="CUST026"/>
    <s v="PROD017"/>
    <x v="2"/>
    <n v="73"/>
    <n v="5"/>
    <n v="365"/>
    <x v="0"/>
    <x v="2"/>
    <s v="Amazon Logistics"/>
    <d v="2023-05-15T00:00:00"/>
    <m/>
    <m/>
    <s v="Delivered"/>
    <s v="NA"/>
    <x v="0"/>
    <s v="Zoe Mitchell"/>
    <x v="3"/>
    <x v="10"/>
    <n v="0"/>
  </r>
  <r>
    <s v="ORD0050"/>
    <s v="CUST040"/>
    <s v="PROD005"/>
    <x v="1"/>
    <n v="27"/>
    <n v="3"/>
    <n v="81"/>
    <x v="3"/>
    <x v="1"/>
    <s v="UPS"/>
    <d v="2023-02-12T00:00:00"/>
    <d v="2023-02-19T00:00:00"/>
    <m/>
    <s v="Delivered"/>
    <n v="7"/>
    <x v="2"/>
    <s v="Benjamin Clark"/>
    <x v="2"/>
    <x v="11"/>
    <n v="81"/>
  </r>
  <r>
    <s v="ORD0051"/>
    <s v="CUST041"/>
    <s v="PROD021"/>
    <x v="0"/>
    <n v="37"/>
    <n v="1"/>
    <n v="37"/>
    <x v="0"/>
    <x v="2"/>
    <s v="UPS"/>
    <d v="2023-10-02T00:00:00"/>
    <m/>
    <m/>
    <s v="Delivered"/>
    <s v="NA"/>
    <x v="0"/>
    <s v="Jacob Price"/>
    <x v="0"/>
    <x v="5"/>
    <n v="0"/>
  </r>
  <r>
    <s v="ORD0052"/>
    <s v="CUST008"/>
    <s v="PROD015"/>
    <x v="0"/>
    <n v="22"/>
    <n v="1"/>
    <n v="22"/>
    <x v="4"/>
    <x v="1"/>
    <s v="FedEx"/>
    <d v="2023-01-30T00:00:00"/>
    <d v="2023-02-01T00:00:00"/>
    <m/>
    <s v="Delivered"/>
    <n v="2"/>
    <x v="1"/>
    <s v="Harper Young"/>
    <x v="4"/>
    <x v="12"/>
    <n v="22"/>
  </r>
  <r>
    <s v="ORD0053"/>
    <s v="CUST011"/>
    <s v="PROD016"/>
    <x v="3"/>
    <n v="218"/>
    <n v="5"/>
    <n v="1090"/>
    <x v="2"/>
    <x v="1"/>
    <s v="DHL"/>
    <d v="2023-12-29T00:00:00"/>
    <d v="2024-01-01T00:00:00"/>
    <m/>
    <s v="Delivered"/>
    <n v="3"/>
    <x v="2"/>
    <s v="Mason Hall"/>
    <x v="0"/>
    <x v="19"/>
    <n v="1090"/>
  </r>
  <r>
    <s v="ORD0054"/>
    <s v="CUST018"/>
    <s v="PROD004"/>
    <x v="0"/>
    <n v="64"/>
    <n v="1"/>
    <n v="64"/>
    <x v="0"/>
    <x v="0"/>
    <s v="USPS"/>
    <d v="2023-03-06T00:00:00"/>
    <m/>
    <d v="2023-03-13T00:00:00"/>
    <s v="Cancelled"/>
    <s v="NA"/>
    <x v="0"/>
    <s v="Grace Scott"/>
    <x v="1"/>
    <x v="21"/>
    <n v="0"/>
  </r>
  <r>
    <s v="ORD0055"/>
    <s v="CUST037"/>
    <s v="PROD021"/>
    <x v="3"/>
    <n v="36"/>
    <n v="4"/>
    <n v="144"/>
    <x v="2"/>
    <x v="1"/>
    <s v="Amazon Logistics"/>
    <d v="2023-02-02T00:00:00"/>
    <d v="2023-02-06T00:00:00"/>
    <m/>
    <s v="Delivered"/>
    <n v="4"/>
    <x v="2"/>
    <s v="Emily Johnson"/>
    <x v="0"/>
    <x v="5"/>
    <n v="144"/>
  </r>
  <r>
    <s v="ORD0056"/>
    <s v="CUST017"/>
    <s v="PROD004"/>
    <x v="4"/>
    <n v="65"/>
    <n v="1"/>
    <n v="65"/>
    <x v="3"/>
    <x v="1"/>
    <s v="FedEx"/>
    <d v="2023-10-18T00:00:00"/>
    <d v="2023-10-21T00:00:00"/>
    <m/>
    <s v="Delivered"/>
    <n v="3"/>
    <x v="2"/>
    <s v="Emma King"/>
    <x v="1"/>
    <x v="21"/>
    <n v="65"/>
  </r>
  <r>
    <s v="ORD0057"/>
    <s v="CUST025"/>
    <s v="PROD005"/>
    <x v="3"/>
    <n v="26"/>
    <n v="1"/>
    <n v="26"/>
    <x v="0"/>
    <x v="1"/>
    <s v="DHL"/>
    <d v="2023-01-07T00:00:00"/>
    <d v="2023-01-09T00:00:00"/>
    <m/>
    <s v="Delivered"/>
    <n v="2"/>
    <x v="1"/>
    <s v="Emma King"/>
    <x v="2"/>
    <x v="11"/>
    <n v="26"/>
  </r>
  <r>
    <s v="ORD0058"/>
    <s v="CUST021"/>
    <s v="PROD009"/>
    <x v="0"/>
    <n v="11"/>
    <n v="5"/>
    <n v="55"/>
    <x v="1"/>
    <x v="2"/>
    <s v="FedEx"/>
    <d v="2023-05-08T00:00:00"/>
    <m/>
    <m/>
    <s v="Delivered"/>
    <s v="NA"/>
    <x v="0"/>
    <s v="Zoe Mitchell"/>
    <x v="4"/>
    <x v="17"/>
    <n v="0"/>
  </r>
  <r>
    <s v="ORD0059"/>
    <s v="CUST003"/>
    <s v="PROD013"/>
    <x v="0"/>
    <n v="195"/>
    <n v="4"/>
    <n v="780"/>
    <x v="2"/>
    <x v="0"/>
    <s v="FedEx"/>
    <d v="2023-04-02T00:00:00"/>
    <m/>
    <d v="2023-04-05T00:00:00"/>
    <s v="Cancelled"/>
    <s v="NA"/>
    <x v="0"/>
    <s v="Ethan Davis"/>
    <x v="0"/>
    <x v="2"/>
    <n v="0"/>
  </r>
  <r>
    <s v="ORD0060"/>
    <s v="CUST019"/>
    <s v="PROD019"/>
    <x v="4"/>
    <n v="44"/>
    <n v="5"/>
    <n v="220"/>
    <x v="0"/>
    <x v="0"/>
    <s v="USPS"/>
    <d v="2023-10-11T00:00:00"/>
    <m/>
    <d v="2023-10-12T00:00:00"/>
    <s v="Cancelled"/>
    <s v="NA"/>
    <x v="0"/>
    <s v="Ava Robinson"/>
    <x v="2"/>
    <x v="6"/>
    <n v="0"/>
  </r>
  <r>
    <s v="ORD0061"/>
    <s v="CUST035"/>
    <s v="PROD008"/>
    <x v="1"/>
    <n v="69"/>
    <n v="4"/>
    <n v="276"/>
    <x v="4"/>
    <x v="2"/>
    <s v="DHL"/>
    <d v="2023-09-10T00:00:00"/>
    <m/>
    <m/>
    <s v="Delivered"/>
    <s v="NA"/>
    <x v="0"/>
    <s v="Scarlett Adams"/>
    <x v="4"/>
    <x v="13"/>
    <n v="0"/>
  </r>
  <r>
    <s v="ORD0062"/>
    <s v="CUST022"/>
    <s v="PROD001"/>
    <x v="0"/>
    <n v="815"/>
    <n v="4"/>
    <n v="3260"/>
    <x v="1"/>
    <x v="1"/>
    <s v="USPS"/>
    <d v="2023-11-22T00:00:00"/>
    <d v="2023-11-29T00:00:00"/>
    <m/>
    <s v="Delivered"/>
    <n v="7"/>
    <x v="2"/>
    <s v="Elijah Lewis"/>
    <x v="3"/>
    <x v="14"/>
    <n v="3260"/>
  </r>
  <r>
    <s v="ORD0063"/>
    <s v="CUST004"/>
    <s v="PROD005"/>
    <x v="1"/>
    <n v="27"/>
    <n v="1"/>
    <n v="27"/>
    <x v="4"/>
    <x v="2"/>
    <s v="Amazon Logistics"/>
    <d v="2023-05-02T00:00:00"/>
    <m/>
    <m/>
    <s v="Delivered"/>
    <s v="NA"/>
    <x v="0"/>
    <s v="Noah Wilson"/>
    <x v="2"/>
    <x v="11"/>
    <n v="0"/>
  </r>
  <r>
    <s v="ORD0064"/>
    <s v="CUST048"/>
    <s v="PROD003"/>
    <x v="4"/>
    <n v="139"/>
    <n v="5"/>
    <n v="695"/>
    <x v="0"/>
    <x v="1"/>
    <s v="USPS"/>
    <d v="2023-12-25T00:00:00"/>
    <d v="2023-12-29T00:00:00"/>
    <m/>
    <s v="Delivered"/>
    <n v="4"/>
    <x v="2"/>
    <s v="Noah Wilson"/>
    <x v="0"/>
    <x v="7"/>
    <n v="695"/>
  </r>
  <r>
    <s v="ORD0065"/>
    <s v="CUST009"/>
    <s v="PROD008"/>
    <x v="2"/>
    <n v="69"/>
    <n v="3"/>
    <n v="207"/>
    <x v="2"/>
    <x v="0"/>
    <s v="Amazon Logistics"/>
    <d v="2023-10-18T00:00:00"/>
    <m/>
    <d v="2023-10-20T00:00:00"/>
    <s v="Cancelled"/>
    <s v="NA"/>
    <x v="0"/>
    <s v="Jackson Allen"/>
    <x v="4"/>
    <x v="13"/>
    <n v="0"/>
  </r>
  <r>
    <s v="ORD0066"/>
    <s v="CUST009"/>
    <s v="PROD019"/>
    <x v="4"/>
    <n v="42"/>
    <n v="1"/>
    <n v="42"/>
    <x v="0"/>
    <x v="0"/>
    <s v="DHL"/>
    <d v="2023-05-20T00:00:00"/>
    <m/>
    <d v="2023-05-21T00:00:00"/>
    <s v="Cancelled"/>
    <s v="NA"/>
    <x v="0"/>
    <s v="Jackson Allen"/>
    <x v="2"/>
    <x v="6"/>
    <n v="0"/>
  </r>
  <r>
    <s v="ORD0067"/>
    <s v="CUST050"/>
    <s v="PROD007"/>
    <x v="0"/>
    <n v="31"/>
    <n v="4"/>
    <n v="124"/>
    <x v="1"/>
    <x v="1"/>
    <s v="UPS"/>
    <d v="2023-07-28T00:00:00"/>
    <d v="2023-07-30T00:00:00"/>
    <m/>
    <s v="Delivered"/>
    <n v="2"/>
    <x v="1"/>
    <e v="#N/A"/>
    <x v="1"/>
    <x v="20"/>
    <n v="124"/>
  </r>
  <r>
    <s v="ORD0068"/>
    <s v="CUST045"/>
    <s v="PROD020"/>
    <x v="4"/>
    <n v="104"/>
    <n v="3"/>
    <n v="312"/>
    <x v="1"/>
    <x v="2"/>
    <s v="UPS"/>
    <d v="2023-12-18T00:00:00"/>
    <m/>
    <m/>
    <s v="Delivered"/>
    <s v="NA"/>
    <x v="0"/>
    <s v="Emily Johnson"/>
    <x v="3"/>
    <x v="4"/>
    <n v="0"/>
  </r>
  <r>
    <s v="ORD0069"/>
    <s v="CUST044"/>
    <s v="PROD010"/>
    <x v="1"/>
    <n v="58"/>
    <n v="2"/>
    <n v="116"/>
    <x v="0"/>
    <x v="0"/>
    <s v="USPS"/>
    <d v="2023-07-02T00:00:00"/>
    <m/>
    <d v="2023-07-07T00:00:00"/>
    <s v="Cancelled"/>
    <s v="NA"/>
    <x v="0"/>
    <s v="Grace Ward"/>
    <x v="2"/>
    <x v="3"/>
    <n v="0"/>
  </r>
  <r>
    <s v="ORD0070"/>
    <s v="CUST009"/>
    <s v="PROD004"/>
    <x v="4"/>
    <n v="62"/>
    <n v="2"/>
    <n v="124"/>
    <x v="4"/>
    <x v="0"/>
    <s v="DHL"/>
    <d v="2023-10-09T00:00:00"/>
    <m/>
    <d v="2023-10-10T00:00:00"/>
    <s v="Cancelled"/>
    <s v="NA"/>
    <x v="0"/>
    <s v="Jackson Allen"/>
    <x v="1"/>
    <x v="21"/>
    <n v="0"/>
  </r>
  <r>
    <s v="ORD0071"/>
    <s v="CUST006"/>
    <s v="PROD019"/>
    <x v="1"/>
    <n v="43"/>
    <n v="1"/>
    <n v="43"/>
    <x v="1"/>
    <x v="1"/>
    <s v="Amazon Logistics"/>
    <d v="2023-12-18T00:00:00"/>
    <d v="2023-12-25T00:00:00"/>
    <m/>
    <s v="Delivered"/>
    <n v="7"/>
    <x v="2"/>
    <s v="Ava Robinson"/>
    <x v="2"/>
    <x v="6"/>
    <n v="43"/>
  </r>
  <r>
    <s v="ORD0072"/>
    <s v="CUST022"/>
    <s v="PROD004"/>
    <x v="1"/>
    <n v="62"/>
    <n v="4"/>
    <n v="248"/>
    <x v="4"/>
    <x v="2"/>
    <s v="Amazon Logistics"/>
    <d v="2023-03-07T00:00:00"/>
    <m/>
    <m/>
    <s v="Delivered"/>
    <s v="NA"/>
    <x v="0"/>
    <s v="Elijah Lewis"/>
    <x v="1"/>
    <x v="21"/>
    <n v="0"/>
  </r>
  <r>
    <s v="ORD0073"/>
    <s v="CUST028"/>
    <s v="PROD006"/>
    <x v="0"/>
    <n v="95"/>
    <n v="2"/>
    <n v="190"/>
    <x v="2"/>
    <x v="0"/>
    <s v="UPS"/>
    <d v="2023-07-22T00:00:00"/>
    <m/>
    <d v="2023-07-25T00:00:00"/>
    <s v="Cancelled"/>
    <s v="NA"/>
    <x v="0"/>
    <s v="Lily Bennett"/>
    <x v="2"/>
    <x v="9"/>
    <n v="0"/>
  </r>
  <r>
    <s v="ORD0074"/>
    <s v="CUST016"/>
    <s v="PROD021"/>
    <x v="3"/>
    <n v="36"/>
    <n v="4"/>
    <n v="144"/>
    <x v="0"/>
    <x v="1"/>
    <s v="FedEx"/>
    <d v="2023-01-18T00:00:00"/>
    <d v="2023-01-24T00:00:00"/>
    <m/>
    <s v="Delivered"/>
    <n v="6"/>
    <x v="2"/>
    <s v="Elijah Lewis"/>
    <x v="0"/>
    <x v="5"/>
    <n v="144"/>
  </r>
  <r>
    <s v="ORD0075"/>
    <s v="CUST042"/>
    <s v="PROD017"/>
    <x v="1"/>
    <n v="73"/>
    <n v="5"/>
    <n v="365"/>
    <x v="0"/>
    <x v="2"/>
    <s v="DHL"/>
    <d v="2023-05-24T00:00:00"/>
    <m/>
    <m/>
    <s v="Delivered"/>
    <s v="NA"/>
    <x v="0"/>
    <s v="Noah Wilson"/>
    <x v="3"/>
    <x v="10"/>
    <n v="0"/>
  </r>
  <r>
    <s v="ORD0076"/>
    <s v="CUST023"/>
    <s v="PROD019"/>
    <x v="0"/>
    <n v="43"/>
    <n v="4"/>
    <n v="172"/>
    <x v="4"/>
    <x v="1"/>
    <s v="DHL"/>
    <d v="2023-09-03T00:00:00"/>
    <d v="2023-09-09T00:00:00"/>
    <m/>
    <s v="Delivered"/>
    <n v="6"/>
    <x v="2"/>
    <s v="Charlotte Reed"/>
    <x v="2"/>
    <x v="6"/>
    <n v="172"/>
  </r>
  <r>
    <s v="ORD0077"/>
    <s v="CUST004"/>
    <s v="PROD016"/>
    <x v="4"/>
    <n v="214"/>
    <n v="5"/>
    <n v="1070"/>
    <x v="4"/>
    <x v="1"/>
    <s v="UPS"/>
    <d v="2023-11-02T00:00:00"/>
    <d v="2023-11-04T00:00:00"/>
    <m/>
    <s v="Delivered"/>
    <n v="2"/>
    <x v="1"/>
    <s v="Noah Wilson"/>
    <x v="0"/>
    <x v="19"/>
    <n v="1070"/>
  </r>
  <r>
    <s v="ORD0078"/>
    <s v="CUST048"/>
    <s v="PROD002"/>
    <x v="3"/>
    <n v="42"/>
    <n v="2"/>
    <n v="84"/>
    <x v="0"/>
    <x v="0"/>
    <s v="UPS"/>
    <d v="2023-12-03T00:00:00"/>
    <m/>
    <d v="2023-12-06T00:00:00"/>
    <s v="Cancelled"/>
    <s v="NA"/>
    <x v="0"/>
    <s v="Noah Wilson"/>
    <x v="1"/>
    <x v="15"/>
    <n v="0"/>
  </r>
  <r>
    <s v="ORD0079"/>
    <s v="CUST048"/>
    <s v="PROD012"/>
    <x v="0"/>
    <n v="46"/>
    <n v="1"/>
    <n v="46"/>
    <x v="3"/>
    <x v="2"/>
    <s v="UPS"/>
    <d v="2023-04-01T00:00:00"/>
    <m/>
    <m/>
    <s v="Delivered"/>
    <s v="NA"/>
    <x v="0"/>
    <s v="Noah Wilson"/>
    <x v="0"/>
    <x v="0"/>
    <n v="0"/>
  </r>
  <r>
    <s v="ORD0080"/>
    <s v="CUST032"/>
    <s v="PROD018"/>
    <x v="1"/>
    <n v="95"/>
    <n v="4"/>
    <n v="380"/>
    <x v="1"/>
    <x v="1"/>
    <s v="UPS"/>
    <d v="2023-10-16T00:00:00"/>
    <d v="2023-10-19T00:00:00"/>
    <m/>
    <s v="Delivered"/>
    <n v="3"/>
    <x v="2"/>
    <s v="Luke Gray"/>
    <x v="1"/>
    <x v="1"/>
    <n v="380"/>
  </r>
  <r>
    <s v="ORD0081"/>
    <s v="CUST001"/>
    <s v="PROD011"/>
    <x v="4"/>
    <n v="174"/>
    <n v="2"/>
    <n v="348"/>
    <x v="2"/>
    <x v="2"/>
    <s v="UPS"/>
    <d v="2023-11-05T00:00:00"/>
    <m/>
    <m/>
    <s v="Delivered"/>
    <s v="NA"/>
    <x v="0"/>
    <s v="James Miller"/>
    <x v="3"/>
    <x v="18"/>
    <n v="0"/>
  </r>
  <r>
    <s v="ORD0082"/>
    <s v="CUST046"/>
    <s v="PROD005"/>
    <x v="0"/>
    <n v="27"/>
    <n v="5"/>
    <n v="135"/>
    <x v="1"/>
    <x v="0"/>
    <s v="Amazon Logistics"/>
    <d v="2023-06-15T00:00:00"/>
    <m/>
    <d v="2023-06-18T00:00:00"/>
    <s v="Cancelled"/>
    <s v="NA"/>
    <x v="0"/>
    <s v="Emily Johnson"/>
    <x v="2"/>
    <x v="11"/>
    <n v="0"/>
  </r>
  <r>
    <s v="ORD0083"/>
    <s v="CUST021"/>
    <s v="PROD005"/>
    <x v="2"/>
    <n v="27"/>
    <n v="4"/>
    <n v="108"/>
    <x v="2"/>
    <x v="1"/>
    <s v="USPS"/>
    <d v="2023-10-28T00:00:00"/>
    <d v="2023-10-30T00:00:00"/>
    <m/>
    <s v="Delivered"/>
    <n v="2"/>
    <x v="1"/>
    <s v="Zoe Mitchell"/>
    <x v="2"/>
    <x v="11"/>
    <n v="108"/>
  </r>
  <r>
    <s v="ORD0084"/>
    <s v="CUST015"/>
    <s v="PROD022"/>
    <x v="2"/>
    <n v="65"/>
    <n v="2"/>
    <n v="130"/>
    <x v="2"/>
    <x v="2"/>
    <s v="DHL"/>
    <d v="2023-12-22T00:00:00"/>
    <m/>
    <m/>
    <s v="Delivered"/>
    <s v="NA"/>
    <x v="0"/>
    <s v="Ava White"/>
    <x v="2"/>
    <x v="16"/>
    <n v="0"/>
  </r>
  <r>
    <s v="ORD0085"/>
    <s v="CUST045"/>
    <s v="PROD019"/>
    <x v="1"/>
    <n v="43"/>
    <n v="5"/>
    <n v="215"/>
    <x v="4"/>
    <x v="2"/>
    <s v="DHL"/>
    <d v="2023-03-07T00:00:00"/>
    <m/>
    <m/>
    <s v="Delivered"/>
    <s v="NA"/>
    <x v="0"/>
    <s v="Emily Johnson"/>
    <x v="2"/>
    <x v="6"/>
    <n v="0"/>
  </r>
  <r>
    <s v="ORD0086"/>
    <s v="CUST007"/>
    <s v="PROD016"/>
    <x v="4"/>
    <n v="210"/>
    <n v="1"/>
    <n v="210"/>
    <x v="2"/>
    <x v="2"/>
    <s v="UPS"/>
    <d v="2023-11-10T00:00:00"/>
    <m/>
    <m/>
    <s v="Delivered"/>
    <s v="NA"/>
    <x v="0"/>
    <s v="Liam Walker"/>
    <x v="0"/>
    <x v="19"/>
    <n v="0"/>
  </r>
  <r>
    <s v="ORD0087"/>
    <s v="CUST043"/>
    <s v="PROD021"/>
    <x v="2"/>
    <n v="37"/>
    <n v="3"/>
    <n v="111"/>
    <x v="1"/>
    <x v="2"/>
    <s v="UPS"/>
    <d v="2023-11-22T00:00:00"/>
    <m/>
    <m/>
    <s v="Delivered"/>
    <s v="NA"/>
    <x v="0"/>
    <s v="Lily Reed"/>
    <x v="0"/>
    <x v="5"/>
    <n v="0"/>
  </r>
  <r>
    <s v="ORD0088"/>
    <s v="CUST007"/>
    <s v="PROD001"/>
    <x v="2"/>
    <n v="788"/>
    <n v="4"/>
    <n v="3152"/>
    <x v="4"/>
    <x v="2"/>
    <s v="Amazon Logistics"/>
    <d v="2023-05-08T00:00:00"/>
    <m/>
    <m/>
    <s v="Delivered"/>
    <s v="NA"/>
    <x v="0"/>
    <s v="Liam Walker"/>
    <x v="3"/>
    <x v="14"/>
    <n v="0"/>
  </r>
  <r>
    <s v="ORD0089"/>
    <s v="CUST007"/>
    <s v="PROD016"/>
    <x v="4"/>
    <n v="217"/>
    <n v="5"/>
    <n v="1085"/>
    <x v="4"/>
    <x v="2"/>
    <s v="FedEx"/>
    <d v="2023-07-13T00:00:00"/>
    <m/>
    <m/>
    <s v="Delivered"/>
    <s v="NA"/>
    <x v="0"/>
    <s v="Liam Walker"/>
    <x v="0"/>
    <x v="19"/>
    <n v="0"/>
  </r>
  <r>
    <s v="ORD0090"/>
    <s v="CUST007"/>
    <s v="PROD003"/>
    <x v="4"/>
    <n v="138"/>
    <n v="4"/>
    <n v="552"/>
    <x v="1"/>
    <x v="2"/>
    <s v="FedEx"/>
    <d v="2023-01-18T00:00:00"/>
    <m/>
    <m/>
    <s v="Delivered"/>
    <s v="NA"/>
    <x v="0"/>
    <s v="Liam Walker"/>
    <x v="0"/>
    <x v="7"/>
    <n v="0"/>
  </r>
  <r>
    <s v="ORD0091"/>
    <s v="CUST031"/>
    <s v="PROD001"/>
    <x v="3"/>
    <n v="803"/>
    <n v="2"/>
    <n v="1606"/>
    <x v="0"/>
    <x v="1"/>
    <s v="FedEx"/>
    <d v="2023-06-23T00:00:00"/>
    <d v="2023-06-29T00:00:00"/>
    <m/>
    <s v="Delivered"/>
    <n v="6"/>
    <x v="2"/>
    <s v="Mason Collins"/>
    <x v="3"/>
    <x v="14"/>
    <n v="1606"/>
  </r>
  <r>
    <s v="ORD0092"/>
    <s v="CUST013"/>
    <s v="PROD014"/>
    <x v="0"/>
    <n v="248"/>
    <n v="5"/>
    <n v="1240"/>
    <x v="2"/>
    <x v="0"/>
    <s v="UPS"/>
    <d v="2023-02-21T00:00:00"/>
    <m/>
    <d v="2023-02-25T00:00:00"/>
    <s v="Cancelled"/>
    <s v="NA"/>
    <x v="0"/>
    <s v="Olivia Martinez"/>
    <x v="3"/>
    <x v="8"/>
    <n v="0"/>
  </r>
  <r>
    <s v="ORD0093"/>
    <s v="CUST036"/>
    <s v="PROD016"/>
    <x v="1"/>
    <n v="210"/>
    <n v="3"/>
    <n v="630"/>
    <x v="0"/>
    <x v="1"/>
    <s v="DHL"/>
    <d v="2023-02-19T00:00:00"/>
    <d v="2023-02-21T00:00:00"/>
    <m/>
    <s v="Delivered"/>
    <n v="2"/>
    <x v="1"/>
    <s v="Ethan Davis"/>
    <x v="0"/>
    <x v="19"/>
    <n v="630"/>
  </r>
  <r>
    <s v="ORD0094"/>
    <s v="CUST013"/>
    <s v="PROD004"/>
    <x v="0"/>
    <n v="62"/>
    <n v="2"/>
    <n v="124"/>
    <x v="1"/>
    <x v="0"/>
    <s v="FedEx"/>
    <d v="2023-12-05T00:00:00"/>
    <m/>
    <d v="2023-12-12T00:00:00"/>
    <s v="Cancelled"/>
    <s v="NA"/>
    <x v="0"/>
    <s v="Olivia Martinez"/>
    <x v="1"/>
    <x v="21"/>
    <n v="0"/>
  </r>
  <r>
    <s v="ORD0095"/>
    <s v="CUST043"/>
    <s v="PROD009"/>
    <x v="2"/>
    <n v="11"/>
    <n v="5"/>
    <n v="55"/>
    <x v="4"/>
    <x v="0"/>
    <s v="Amazon Logistics"/>
    <d v="2023-06-07T00:00:00"/>
    <m/>
    <d v="2023-06-12T00:00:00"/>
    <s v="Cancelled"/>
    <s v="NA"/>
    <x v="0"/>
    <s v="Lily Reed"/>
    <x v="4"/>
    <x v="17"/>
    <n v="0"/>
  </r>
  <r>
    <s v="ORD0096"/>
    <s v="CUST017"/>
    <s v="PROD015"/>
    <x v="0"/>
    <n v="21"/>
    <n v="2"/>
    <n v="42"/>
    <x v="3"/>
    <x v="1"/>
    <s v="UPS"/>
    <d v="2023-07-09T00:00:00"/>
    <d v="2023-07-12T00:00:00"/>
    <m/>
    <s v="Delivered"/>
    <n v="3"/>
    <x v="2"/>
    <s v="Emma King"/>
    <x v="4"/>
    <x v="12"/>
    <n v="42"/>
  </r>
  <r>
    <s v="ORD0097"/>
    <s v="CUST023"/>
    <s v="PROD018"/>
    <x v="4"/>
    <n v="95"/>
    <n v="5"/>
    <n v="475"/>
    <x v="3"/>
    <x v="1"/>
    <s v="Amazon Logistics"/>
    <d v="2023-12-23T00:00:00"/>
    <d v="2023-12-26T00:00:00"/>
    <m/>
    <s v="Delivered"/>
    <n v="3"/>
    <x v="2"/>
    <s v="Charlotte Reed"/>
    <x v="1"/>
    <x v="1"/>
    <n v="475"/>
  </r>
  <r>
    <s v="ORD0098"/>
    <s v="CUST044"/>
    <s v="PROD016"/>
    <x v="2"/>
    <n v="215"/>
    <n v="2"/>
    <n v="430"/>
    <x v="2"/>
    <x v="1"/>
    <s v="Amazon Logistics"/>
    <d v="2023-09-25T00:00:00"/>
    <d v="2023-09-30T00:00:00"/>
    <m/>
    <s v="Delivered"/>
    <n v="5"/>
    <x v="2"/>
    <s v="Grace Ward"/>
    <x v="0"/>
    <x v="19"/>
    <n v="430"/>
  </r>
  <r>
    <s v="ORD0099"/>
    <s v="CUST034"/>
    <s v="PROD019"/>
    <x v="4"/>
    <n v="43"/>
    <n v="5"/>
    <n v="215"/>
    <x v="1"/>
    <x v="0"/>
    <s v="UPS"/>
    <d v="2023-01-18T00:00:00"/>
    <m/>
    <d v="2023-01-24T00:00:00"/>
    <s v="Cancelled"/>
    <s v="NA"/>
    <x v="0"/>
    <s v="Lily Simmons"/>
    <x v="2"/>
    <x v="6"/>
    <n v="0"/>
  </r>
  <r>
    <s v="ORD0100"/>
    <s v="CUST009"/>
    <s v="PROD002"/>
    <x v="4"/>
    <n v="42"/>
    <n v="4"/>
    <n v="168"/>
    <x v="4"/>
    <x v="2"/>
    <s v="DHL"/>
    <d v="2023-03-27T00:00:00"/>
    <m/>
    <m/>
    <s v="Delivered"/>
    <s v="NA"/>
    <x v="0"/>
    <s v="Jackson Allen"/>
    <x v="1"/>
    <x v="15"/>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80B64D-5F45-4365-8E41-10832C488B10}"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0" firstHeaderRow="1" firstDataRow="2" firstDataCol="1"/>
  <pivotFields count="22">
    <pivotField showAll="0"/>
    <pivotField showAll="0"/>
    <pivotField showAll="0"/>
    <pivotField axis="axisRow" showAll="0">
      <items count="6">
        <item x="3"/>
        <item x="1"/>
        <item x="0"/>
        <item x="2"/>
        <item x="4"/>
        <item t="default"/>
      </items>
    </pivotField>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axis="axisCol" showAll="0">
      <items count="6">
        <item x="4"/>
        <item x="3"/>
        <item x="2"/>
        <item x="0"/>
        <item x="1"/>
        <item t="default"/>
      </items>
    </pivotField>
    <pivotField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i>
    <i>
      <x v="1"/>
    </i>
    <i>
      <x v="2"/>
    </i>
    <i>
      <x v="3"/>
    </i>
    <i>
      <x v="4"/>
    </i>
    <i t="grand">
      <x/>
    </i>
  </rowItems>
  <colFields count="1">
    <field x="17"/>
  </colFields>
  <colItems count="6">
    <i>
      <x/>
    </i>
    <i>
      <x v="1"/>
    </i>
    <i>
      <x v="2"/>
    </i>
    <i>
      <x v="3"/>
    </i>
    <i>
      <x v="4"/>
    </i>
    <i t="grand">
      <x/>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A5DD8A-30A9-4D7E-9729-C830C1B6F72C}"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2">
    <pivotField dataField="1"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8"/>
  </rowFields>
  <rowItems count="4">
    <i>
      <x/>
    </i>
    <i>
      <x v="1"/>
    </i>
    <i>
      <x v="2"/>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386CE5-8ABD-4C02-8048-36A132AF775B}"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2">
    <pivotField showAll="0"/>
    <pivotField showAll="0"/>
    <pivotField showAll="0"/>
    <pivotField axis="axisRow" showAll="0">
      <items count="6">
        <item x="3"/>
        <item x="1"/>
        <item x="0"/>
        <item x="2"/>
        <item x="4"/>
        <item t="default"/>
      </items>
    </pivotField>
    <pivotField showAll="0"/>
    <pivotField showAll="0"/>
    <pivotField showAll="0"/>
    <pivotField showAll="0"/>
    <pivotField showAll="0"/>
    <pivotField showAll="0"/>
    <pivotField numFmtId="14" showAll="0"/>
    <pivotField showAll="0"/>
    <pivotField showAll="0"/>
    <pivotField showAll="0"/>
    <pivotField dataField="1"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i>
    <i>
      <x v="1"/>
    </i>
    <i>
      <x v="2"/>
    </i>
    <i>
      <x v="3"/>
    </i>
    <i>
      <x v="4"/>
    </i>
    <i t="grand">
      <x/>
    </i>
  </rowItems>
  <colItems count="1">
    <i/>
  </colItems>
  <dataFields count="1">
    <dataField name="Average of Delivery Time" fld="14"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932F55-0F4D-438A-A0D1-A6E75B55AD61}"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pivotFields count="22">
    <pivotField dataField="1" showAll="0"/>
    <pivotField showAll="0"/>
    <pivotField showAll="0"/>
    <pivotField axis="axisRow" showAll="0">
      <items count="6">
        <item x="3"/>
        <item x="1"/>
        <item x="0"/>
        <item x="2"/>
        <item x="4"/>
        <item t="default"/>
      </items>
    </pivotField>
    <pivotField showAll="0"/>
    <pivotField showAll="0"/>
    <pivotField showAll="0"/>
    <pivotField showAll="0"/>
    <pivotField showAll="0"/>
    <pivotField showAll="0"/>
    <pivotField numFmtId="14" showAll="0"/>
    <pivotField showAll="0"/>
    <pivotField showAll="0"/>
    <pivotField axis="axisCol" showAll="0">
      <items count="3">
        <item x="0"/>
        <item x="1"/>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i>
    <i>
      <x v="1"/>
    </i>
    <i>
      <x v="2"/>
    </i>
    <i>
      <x v="3"/>
    </i>
    <i>
      <x v="4"/>
    </i>
    <i t="grand">
      <x/>
    </i>
  </rowItems>
  <colFields count="1">
    <field x="13"/>
  </colFields>
  <colItems count="3">
    <i>
      <x/>
    </i>
    <i>
      <x v="1"/>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290B1C-6099-43D3-A2AA-24A4E86EB6A5}" name="PivotTable6"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showAll="0"/>
    <pivotField showAll="0"/>
    <pivotField showAll="0">
      <items count="6">
        <item x="3"/>
        <item h="1" x="1"/>
        <item h="1" x="0"/>
        <item h="1" x="2"/>
        <item h="1" x="4"/>
        <item t="default"/>
      </items>
    </pivotField>
    <pivotField showAll="0"/>
    <pivotField showAll="0"/>
    <pivotField showAll="0"/>
    <pivotField showAll="0">
      <items count="6">
        <item x="3"/>
        <item x="0"/>
        <item x="1"/>
        <item x="4"/>
        <item x="2"/>
        <item t="default"/>
      </items>
    </pivotField>
    <pivotField showAll="0"/>
    <pivotField showAll="0"/>
    <pivotField numFmtId="14" showAll="0"/>
    <pivotField showAll="0"/>
    <pivotField showAll="0"/>
    <pivotField showAll="0"/>
    <pivotField showAll="0"/>
    <pivotField showAll="0"/>
    <pivotField showAll="0"/>
    <pivotField showAll="0">
      <items count="6">
        <item x="4"/>
        <item x="3"/>
        <item x="2"/>
        <item x="0"/>
        <item x="1"/>
        <item t="default"/>
      </items>
    </pivotField>
    <pivotField showAll="0"/>
    <pivotField dataField="1" showAll="0"/>
  </pivotFields>
  <rowItems count="1">
    <i/>
  </rowItems>
  <colItems count="1">
    <i/>
  </colItems>
  <dataFields count="1">
    <dataField name="Sum of Effective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854188-7E3E-4CC2-B63E-D78D12CFCEB0}" name="PivotTable7"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5" firstHeaderRow="1" firstDataRow="1" firstDataCol="1"/>
  <pivotFields count="20">
    <pivotField showAll="0"/>
    <pivotField showAll="0"/>
    <pivotField showAll="0"/>
    <pivotField axis="axisRow" showAll="0">
      <items count="6">
        <item x="3"/>
        <item h="1" x="1"/>
        <item h="1" x="0"/>
        <item h="1" x="2"/>
        <item h="1" x="4"/>
        <item t="default"/>
      </items>
    </pivotField>
    <pivotField showAll="0"/>
    <pivotField showAll="0"/>
    <pivotField dataField="1" showAll="0"/>
    <pivotField showAll="0">
      <items count="6">
        <item x="3"/>
        <item x="0"/>
        <item x="1"/>
        <item x="4"/>
        <item x="2"/>
        <item t="default"/>
      </items>
    </pivotField>
    <pivotField showAll="0"/>
    <pivotField showAll="0"/>
    <pivotField numFmtId="14" showAll="0"/>
    <pivotField showAll="0"/>
    <pivotField showAll="0"/>
    <pivotField showAll="0"/>
    <pivotField showAll="0"/>
    <pivotField showAll="0"/>
    <pivotField showAll="0"/>
    <pivotField showAll="0">
      <items count="6">
        <item x="4"/>
        <item x="3"/>
        <item x="2"/>
        <item x="0"/>
        <item x="1"/>
        <item t="default"/>
      </items>
    </pivotField>
    <pivotField showAll="0"/>
    <pivotField showAll="0"/>
  </pivotFields>
  <rowFields count="1">
    <field x="3"/>
  </rowFields>
  <rowItems count="2">
    <i>
      <x/>
    </i>
    <i t="grand">
      <x/>
    </i>
  </rowItems>
  <colItems count="1">
    <i/>
  </colItems>
  <dataFields count="1">
    <dataField name="Sum of Total Amount" fld="6" baseField="0" baseItem="0"/>
  </dataFields>
  <chartFormats count="2">
    <chartFormat chart="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395FCC-5583-46B8-8A05-A844C30B0E76}" name="PivotTable8"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20">
    <pivotField showAll="0"/>
    <pivotField showAll="0"/>
    <pivotField showAll="0"/>
    <pivotField showAll="0">
      <items count="6">
        <item x="3"/>
        <item h="1" x="1"/>
        <item h="1" x="0"/>
        <item h="1" x="2"/>
        <item h="1" x="4"/>
        <item t="default"/>
      </items>
    </pivotField>
    <pivotField showAll="0"/>
    <pivotField showAll="0"/>
    <pivotField dataField="1" showAll="0"/>
    <pivotField showAll="0">
      <items count="6">
        <item x="3"/>
        <item x="0"/>
        <item x="1"/>
        <item x="4"/>
        <item x="2"/>
        <item t="default"/>
      </items>
    </pivotField>
    <pivotField showAll="0"/>
    <pivotField showAll="0"/>
    <pivotField numFmtId="14" showAll="0"/>
    <pivotField showAll="0"/>
    <pivotField showAll="0"/>
    <pivotField showAll="0"/>
    <pivotField showAll="0"/>
    <pivotField showAll="0"/>
    <pivotField showAll="0"/>
    <pivotField axis="axisRow" showAll="0">
      <items count="6">
        <item x="4"/>
        <item x="3"/>
        <item x="2"/>
        <item x="0"/>
        <item x="1"/>
        <item t="default"/>
      </items>
    </pivotField>
    <pivotField showAll="0"/>
    <pivotField showAll="0"/>
  </pivotFields>
  <rowFields count="1">
    <field x="17"/>
  </rowFields>
  <rowItems count="6">
    <i>
      <x/>
    </i>
    <i>
      <x v="1"/>
    </i>
    <i>
      <x v="2"/>
    </i>
    <i>
      <x v="3"/>
    </i>
    <i>
      <x v="4"/>
    </i>
    <i t="grand">
      <x/>
    </i>
  </rowItems>
  <colItems count="1">
    <i/>
  </colItems>
  <dataFields count="1">
    <dataField name="Sum of Total Amount" fld="6" baseField="0" baseItem="0"/>
  </dataFields>
  <chartFormats count="7">
    <chartFormat chart="5" format="0"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7" count="1" selected="0">
            <x v="0"/>
          </reference>
        </references>
      </pivotArea>
    </chartFormat>
    <chartFormat chart="10" format="9">
      <pivotArea type="data" outline="0" fieldPosition="0">
        <references count="2">
          <reference field="4294967294" count="1" selected="0">
            <x v="0"/>
          </reference>
          <reference field="17" count="1" selected="0">
            <x v="1"/>
          </reference>
        </references>
      </pivotArea>
    </chartFormat>
    <chartFormat chart="10" format="10">
      <pivotArea type="data" outline="0" fieldPosition="0">
        <references count="2">
          <reference field="4294967294" count="1" selected="0">
            <x v="0"/>
          </reference>
          <reference field="17" count="1" selected="0">
            <x v="2"/>
          </reference>
        </references>
      </pivotArea>
    </chartFormat>
    <chartFormat chart="10" format="11">
      <pivotArea type="data" outline="0" fieldPosition="0">
        <references count="2">
          <reference field="4294967294" count="1" selected="0">
            <x v="0"/>
          </reference>
          <reference field="17" count="1" selected="0">
            <x v="3"/>
          </reference>
        </references>
      </pivotArea>
    </chartFormat>
    <chartFormat chart="10" format="12">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B366EE-1103-4175-8527-7D96158665B5}" name="PivotTable9"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20">
    <pivotField dataField="1" showAll="0"/>
    <pivotField showAll="0"/>
    <pivotField showAll="0"/>
    <pivotField showAll="0">
      <items count="6">
        <item x="3"/>
        <item h="1" x="1"/>
        <item h="1" x="0"/>
        <item h="1" x="2"/>
        <item h="1" x="4"/>
        <item t="default"/>
      </items>
    </pivotField>
    <pivotField showAll="0"/>
    <pivotField showAll="0"/>
    <pivotField showAll="0"/>
    <pivotField showAll="0">
      <items count="6">
        <item x="3"/>
        <item x="0"/>
        <item x="1"/>
        <item x="4"/>
        <item x="2"/>
        <item t="default"/>
      </items>
    </pivotField>
    <pivotField axis="axisRow" showAll="0">
      <items count="4">
        <item x="0"/>
        <item x="1"/>
        <item x="2"/>
        <item t="default"/>
      </items>
    </pivotField>
    <pivotField showAll="0"/>
    <pivotField numFmtId="14" showAll="0"/>
    <pivotField showAll="0"/>
    <pivotField showAll="0"/>
    <pivotField showAll="0"/>
    <pivotField showAll="0"/>
    <pivotField showAll="0"/>
    <pivotField showAll="0"/>
    <pivotField showAll="0">
      <items count="6">
        <item x="4"/>
        <item x="3"/>
        <item x="2"/>
        <item x="0"/>
        <item x="1"/>
        <item t="default"/>
      </items>
    </pivotField>
    <pivotField showAll="0"/>
    <pivotField showAll="0"/>
  </pivotFields>
  <rowFields count="1">
    <field x="8"/>
  </rowFields>
  <rowItems count="4">
    <i>
      <x/>
    </i>
    <i>
      <x v="1"/>
    </i>
    <i>
      <x v="2"/>
    </i>
    <i t="grand">
      <x/>
    </i>
  </rowItems>
  <colItems count="1">
    <i/>
  </colItems>
  <dataFields count="1">
    <dataField name="Count of Order ID" fld="0" subtotal="count" baseField="0" baseItem="0"/>
  </dataFields>
  <chartFormats count="2">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B63B07-BD15-490F-A803-B4DF04F71E5D}" name="PivotTable17"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17:W18" firstHeaderRow="1" firstDataRow="1" firstDataCol="0"/>
  <pivotFields count="20">
    <pivotField showAll="0"/>
    <pivotField showAll="0"/>
    <pivotField showAll="0"/>
    <pivotField showAll="0">
      <items count="6">
        <item x="3"/>
        <item h="1" x="1"/>
        <item h="1" x="0"/>
        <item h="1" x="2"/>
        <item h="1" x="4"/>
        <item t="default"/>
      </items>
    </pivotField>
    <pivotField showAll="0"/>
    <pivotField showAll="0"/>
    <pivotField dataField="1" showAll="0"/>
    <pivotField showAll="0">
      <items count="6">
        <item x="3"/>
        <item x="0"/>
        <item x="1"/>
        <item x="4"/>
        <item x="2"/>
        <item t="default"/>
      </items>
    </pivotField>
    <pivotField showAll="0"/>
    <pivotField showAll="0"/>
    <pivotField numFmtId="14" showAll="0"/>
    <pivotField showAll="0"/>
    <pivotField showAll="0"/>
    <pivotField showAll="0"/>
    <pivotField showAll="0"/>
    <pivotField showAll="0"/>
    <pivotField showAll="0"/>
    <pivotField showAll="0">
      <items count="6">
        <item x="4"/>
        <item x="3"/>
        <item x="2"/>
        <item x="0"/>
        <item x="1"/>
        <item t="default"/>
      </items>
    </pivotField>
    <pivotField showAll="0"/>
    <pivotField showAll="0"/>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E16F3BF-D31D-4F3F-8820-EB171F57BAB0}" name="PivotTable1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0">
    <pivotField showAll="0"/>
    <pivotField showAll="0"/>
    <pivotField showAll="0"/>
    <pivotField axis="axisRow" showAll="0" sortType="descending">
      <items count="6">
        <item x="3"/>
        <item h="1" x="1"/>
        <item h="1" x="0"/>
        <item h="1" x="2"/>
        <item h="1"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
        <item x="3"/>
        <item x="0"/>
        <item x="1"/>
        <item x="4"/>
        <item x="2"/>
        <item t="default"/>
      </items>
    </pivotField>
    <pivotField showAll="0"/>
    <pivotField showAll="0"/>
    <pivotField numFmtId="14" showAll="0"/>
    <pivotField showAll="0"/>
    <pivotField showAll="0"/>
    <pivotField showAll="0"/>
    <pivotField showAll="0"/>
    <pivotField showAll="0"/>
    <pivotField showAll="0"/>
    <pivotField showAll="0">
      <items count="6">
        <item x="4"/>
        <item x="3"/>
        <item x="2"/>
        <item x="0"/>
        <item x="1"/>
        <item t="default"/>
      </items>
    </pivotField>
    <pivotField showAll="0"/>
    <pivotField showAll="0"/>
  </pivotFields>
  <rowFields count="1">
    <field x="3"/>
  </rowFields>
  <rowItems count="2">
    <i>
      <x/>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C1C987B-18FF-40F9-9384-62D3D47DC396}" name="PivotTable12"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0">
    <pivotField showAll="0"/>
    <pivotField showAll="0"/>
    <pivotField showAll="0"/>
    <pivotField showAll="0">
      <items count="6">
        <item x="3"/>
        <item h="1" x="1"/>
        <item h="1" x="0"/>
        <item h="1" x="2"/>
        <item h="1" x="4"/>
        <item t="default"/>
      </items>
    </pivotField>
    <pivotField showAll="0"/>
    <pivotField showAll="0"/>
    <pivotField dataField="1" showAll="0"/>
    <pivotField showAll="0">
      <items count="6">
        <item x="3"/>
        <item x="0"/>
        <item x="1"/>
        <item x="4"/>
        <item x="2"/>
        <item t="default"/>
      </items>
    </pivotField>
    <pivotField showAll="0"/>
    <pivotField showAll="0"/>
    <pivotField numFmtId="14" showAll="0"/>
    <pivotField showAll="0"/>
    <pivotField showAll="0"/>
    <pivotField showAll="0"/>
    <pivotField showAll="0"/>
    <pivotField showAll="0"/>
    <pivotField showAll="0"/>
    <pivotField axis="axisRow" showAll="0">
      <items count="6">
        <item x="4"/>
        <item x="3"/>
        <item x="2"/>
        <item x="0"/>
        <item x="1"/>
        <item t="default"/>
      </items>
    </pivotField>
    <pivotField showAll="0">
      <items count="23">
        <item x="15"/>
        <item x="16"/>
        <item x="4"/>
        <item x="7"/>
        <item x="19"/>
        <item x="1"/>
        <item x="6"/>
        <item x="10"/>
        <item x="18"/>
        <item x="3"/>
        <item x="0"/>
        <item x="21"/>
        <item x="17"/>
        <item x="12"/>
        <item x="20"/>
        <item x="9"/>
        <item x="14"/>
        <item x="8"/>
        <item x="13"/>
        <item x="11"/>
        <item x="2"/>
        <item x="5"/>
        <item t="default"/>
      </items>
    </pivotField>
    <pivotField showAll="0"/>
  </pivotFields>
  <rowFields count="1">
    <field x="17"/>
  </rowFields>
  <rowItems count="6">
    <i>
      <x/>
    </i>
    <i>
      <x v="1"/>
    </i>
    <i>
      <x v="2"/>
    </i>
    <i>
      <x v="3"/>
    </i>
    <i>
      <x v="4"/>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8121923-825A-451A-A69A-2BA648C4542A}" name="PivotTable13"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showAll="0"/>
    <pivotField showAll="0"/>
    <pivotField showAll="0">
      <items count="6">
        <item x="3"/>
        <item h="1" x="1"/>
        <item h="1" x="0"/>
        <item h="1" x="2"/>
        <item h="1" x="4"/>
        <item t="default"/>
      </items>
    </pivotField>
    <pivotField showAll="0"/>
    <pivotField showAll="0"/>
    <pivotField dataField="1" showAll="0"/>
    <pivotField showAll="0">
      <items count="6">
        <item x="3"/>
        <item x="0"/>
        <item x="1"/>
        <item x="4"/>
        <item x="2"/>
        <item t="default"/>
      </items>
    </pivotField>
    <pivotField showAll="0"/>
    <pivotField showAll="0"/>
    <pivotField numFmtId="14" showAll="0"/>
    <pivotField showAll="0"/>
    <pivotField showAll="0"/>
    <pivotField showAll="0"/>
    <pivotField showAll="0"/>
    <pivotField showAll="0"/>
    <pivotField showAll="0"/>
    <pivotField showAll="0">
      <items count="6">
        <item x="4"/>
        <item x="3"/>
        <item x="2"/>
        <item x="0"/>
        <item x="1"/>
        <item t="default"/>
      </items>
    </pivotField>
    <pivotField showAll="0"/>
    <pivotField showAll="0"/>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1D1065C-420E-4232-81B0-7CEFE790A1A1}" name="PivotTable18"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0">
    <pivotField dataField="1" showAll="0"/>
    <pivotField showAll="0"/>
    <pivotField showAll="0"/>
    <pivotField showAll="0">
      <items count="6">
        <item x="3"/>
        <item h="1" x="1"/>
        <item h="1" x="0"/>
        <item h="1" x="2"/>
        <item h="1" x="4"/>
        <item t="default"/>
      </items>
    </pivotField>
    <pivotField showAll="0"/>
    <pivotField showAll="0"/>
    <pivotField showAll="0"/>
    <pivotField showAll="0">
      <items count="6">
        <item x="3"/>
        <item x="0"/>
        <item x="1"/>
        <item x="4"/>
        <item x="2"/>
        <item t="default"/>
      </items>
    </pivotField>
    <pivotField showAll="0"/>
    <pivotField showAll="0"/>
    <pivotField numFmtId="14" showAll="0"/>
    <pivotField showAll="0"/>
    <pivotField showAll="0"/>
    <pivotField showAll="0"/>
    <pivotField showAll="0"/>
    <pivotField axis="axisRow" showAll="0">
      <items count="4">
        <item x="0"/>
        <item x="1"/>
        <item x="2"/>
        <item t="default"/>
      </items>
    </pivotField>
    <pivotField showAll="0"/>
    <pivotField showAll="0">
      <items count="6">
        <item x="4"/>
        <item x="3"/>
        <item x="2"/>
        <item x="0"/>
        <item x="1"/>
        <item t="default"/>
      </items>
    </pivotField>
    <pivotField showAll="0"/>
    <pivotField showAll="0"/>
  </pivotFields>
  <rowFields count="1">
    <field x="15"/>
  </rowFields>
  <rowItems count="4">
    <i>
      <x/>
    </i>
    <i>
      <x v="1"/>
    </i>
    <i>
      <x v="2"/>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487FA0-4F7E-4506-9A2F-790AD9754058}" sourceName="Region">
  <pivotTables>
    <pivotTable tabId="19" name="PivotTable8"/>
    <pivotTable tabId="20" name="PivotTable9"/>
    <pivotTable tabId="18" name="PivotTable7"/>
    <pivotTable tabId="25" name="PivotTable11"/>
    <pivotTable tabId="26" name="PivotTable12"/>
    <pivotTable tabId="27" name="PivotTable13"/>
    <pivotTable tabId="17" name="PivotTable6"/>
    <pivotTable tabId="23" name="PivotTable17"/>
    <pivotTable tabId="28" name="PivotTable18"/>
  </pivotTables>
  <data>
    <tabular pivotCacheId="378539848">
      <items count="5">
        <i x="3" s="1"/>
        <i x="1"/>
        <i x="0"/>
        <i x="2"/>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23114B7-9364-4480-9AED-5F1B90312E41}" sourceName="Payment Method">
  <pivotTables>
    <pivotTable tabId="19" name="PivotTable8"/>
    <pivotTable tabId="20" name="PivotTable9"/>
    <pivotTable tabId="18" name="PivotTable7"/>
    <pivotTable tabId="23" name="PivotTable17"/>
    <pivotTable tabId="25" name="PivotTable11"/>
    <pivotTable tabId="26" name="PivotTable12"/>
    <pivotTable tabId="27" name="PivotTable13"/>
    <pivotTable tabId="28" name="PivotTable18"/>
    <pivotTable tabId="17" name="PivotTable6"/>
  </pivotTables>
  <data>
    <tabular pivotCacheId="378539848">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78B94A7-40FB-4B6F-9879-CDBBF19F8057}" sourceName="Product Category">
  <pivotTables>
    <pivotTable tabId="19" name="PivotTable8"/>
    <pivotTable tabId="20" name="PivotTable9"/>
    <pivotTable tabId="18" name="PivotTable7"/>
    <pivotTable tabId="25" name="PivotTable11"/>
    <pivotTable tabId="26" name="PivotTable12"/>
    <pivotTable tabId="27" name="PivotTable13"/>
    <pivotTable tabId="17" name="PivotTable6"/>
    <pivotTable tabId="23" name="PivotTable17"/>
    <pivotTable tabId="28" name="PivotTable18"/>
  </pivotTables>
  <data>
    <tabular pivotCacheId="378539848">
      <items count="5">
        <i x="4" s="1"/>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97269B0-AB70-45E2-9916-93749529F4F3}" cache="Slicer_Region" caption="Region" rowHeight="234950"/>
  <slicer name="Payment Method" xr10:uid="{DCA3F4E5-2EE4-417E-B0D3-657923F2B00B}" cache="Slicer_Payment_Method" caption="Payment Method" rowHeight="234950"/>
  <slicer name="Product Category" xr10:uid="{315442E1-883E-4B97-A1E8-EC110BA98D8B}" cache="Slicer_Product_Category" caption="Product 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440D2-C8C6-4332-A38E-F379CEDE444E}">
  <dimension ref="A3:G10"/>
  <sheetViews>
    <sheetView workbookViewId="0">
      <selection activeCell="G10" sqref="G10"/>
    </sheetView>
  </sheetViews>
  <sheetFormatPr defaultRowHeight="14.4" x14ac:dyDescent="0.3"/>
  <cols>
    <col min="1" max="1" width="19.21875" bestFit="1" customWidth="1"/>
    <col min="2" max="2" width="15.5546875" bestFit="1" customWidth="1"/>
    <col min="3" max="3" width="10" bestFit="1" customWidth="1"/>
    <col min="4" max="4" width="7.44140625" bestFit="1" customWidth="1"/>
    <col min="5" max="5" width="6" bestFit="1" customWidth="1"/>
    <col min="6" max="6" width="5" bestFit="1" customWidth="1"/>
    <col min="7" max="7" width="10.77734375" bestFit="1" customWidth="1"/>
  </cols>
  <sheetData>
    <row r="3" spans="1:7" x14ac:dyDescent="0.3">
      <c r="A3" s="10" t="s">
        <v>315</v>
      </c>
      <c r="B3" s="10" t="s">
        <v>314</v>
      </c>
    </row>
    <row r="4" spans="1:7" x14ac:dyDescent="0.3">
      <c r="A4" s="10" t="s">
        <v>312</v>
      </c>
      <c r="B4" t="s">
        <v>218</v>
      </c>
      <c r="C4" t="s">
        <v>200</v>
      </c>
      <c r="D4" t="s">
        <v>211</v>
      </c>
      <c r="E4" t="s">
        <v>206</v>
      </c>
      <c r="F4" t="s">
        <v>203</v>
      </c>
      <c r="G4" t="s">
        <v>313</v>
      </c>
    </row>
    <row r="5" spans="1:7" x14ac:dyDescent="0.3">
      <c r="A5" s="11" t="s">
        <v>30</v>
      </c>
      <c r="B5" s="12">
        <v>84</v>
      </c>
      <c r="C5" s="12">
        <v>2662</v>
      </c>
      <c r="D5" s="12">
        <v>210</v>
      </c>
      <c r="E5" s="12">
        <v>2063</v>
      </c>
      <c r="F5" s="12">
        <v>437</v>
      </c>
      <c r="G5" s="12">
        <v>5456</v>
      </c>
    </row>
    <row r="6" spans="1:7" x14ac:dyDescent="0.3">
      <c r="A6" s="11" t="s">
        <v>17</v>
      </c>
      <c r="B6" s="12">
        <v>394</v>
      </c>
      <c r="C6" s="12">
        <v>365</v>
      </c>
      <c r="D6" s="12">
        <v>711</v>
      </c>
      <c r="E6" s="12">
        <v>741</v>
      </c>
      <c r="F6" s="12">
        <v>1424</v>
      </c>
      <c r="G6" s="12">
        <v>3635</v>
      </c>
    </row>
    <row r="7" spans="1:7" x14ac:dyDescent="0.3">
      <c r="A7" s="11" t="s">
        <v>12</v>
      </c>
      <c r="B7" s="12">
        <v>464</v>
      </c>
      <c r="C7" s="12">
        <v>6522</v>
      </c>
      <c r="D7" s="12">
        <v>788</v>
      </c>
      <c r="E7" s="12">
        <v>2131</v>
      </c>
      <c r="F7" s="12">
        <v>586</v>
      </c>
      <c r="G7" s="12">
        <v>10491</v>
      </c>
    </row>
    <row r="8" spans="1:7" x14ac:dyDescent="0.3">
      <c r="A8" s="11" t="s">
        <v>21</v>
      </c>
      <c r="B8" s="12">
        <v>423</v>
      </c>
      <c r="C8" s="12">
        <v>3938</v>
      </c>
      <c r="D8" s="12">
        <v>1032</v>
      </c>
      <c r="E8" s="12">
        <v>1881</v>
      </c>
      <c r="F8" s="12">
        <v>43</v>
      </c>
      <c r="G8" s="12">
        <v>7317</v>
      </c>
    </row>
    <row r="9" spans="1:7" x14ac:dyDescent="0.3">
      <c r="A9" s="11" t="s">
        <v>33</v>
      </c>
      <c r="B9" s="12">
        <v>350</v>
      </c>
      <c r="C9" s="12">
        <v>1722</v>
      </c>
      <c r="D9" s="12">
        <v>1131</v>
      </c>
      <c r="E9" s="12">
        <v>4135</v>
      </c>
      <c r="F9" s="12">
        <v>1021</v>
      </c>
      <c r="G9" s="12">
        <v>8359</v>
      </c>
    </row>
    <row r="10" spans="1:7" x14ac:dyDescent="0.3">
      <c r="A10" s="11" t="s">
        <v>313</v>
      </c>
      <c r="B10" s="12">
        <v>1715</v>
      </c>
      <c r="C10" s="12">
        <v>15209</v>
      </c>
      <c r="D10" s="12">
        <v>3872</v>
      </c>
      <c r="E10" s="12">
        <v>10951</v>
      </c>
      <c r="F10" s="12">
        <v>3511</v>
      </c>
      <c r="G10" s="12">
        <v>35258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01513-D3EC-45C0-8195-E0C5DB8D81D9}">
  <dimension ref="A3:B7"/>
  <sheetViews>
    <sheetView workbookViewId="0">
      <selection activeCell="M22" sqref="M22"/>
    </sheetView>
  </sheetViews>
  <sheetFormatPr defaultRowHeight="14.4" x14ac:dyDescent="0.3"/>
  <cols>
    <col min="1" max="1" width="12.5546875" bestFit="1" customWidth="1"/>
    <col min="2" max="2" width="15.88671875" bestFit="1" customWidth="1"/>
  </cols>
  <sheetData>
    <row r="3" spans="1:2" x14ac:dyDescent="0.3">
      <c r="A3" s="10" t="s">
        <v>312</v>
      </c>
      <c r="B3" t="s">
        <v>316</v>
      </c>
    </row>
    <row r="4" spans="1:2" x14ac:dyDescent="0.3">
      <c r="A4" s="11" t="s">
        <v>14</v>
      </c>
      <c r="B4" s="12">
        <v>30</v>
      </c>
    </row>
    <row r="5" spans="1:2" x14ac:dyDescent="0.3">
      <c r="A5" s="11" t="s">
        <v>19</v>
      </c>
      <c r="B5" s="12">
        <v>34</v>
      </c>
    </row>
    <row r="6" spans="1:2" x14ac:dyDescent="0.3">
      <c r="A6" s="11" t="s">
        <v>22</v>
      </c>
      <c r="B6" s="12">
        <v>36</v>
      </c>
    </row>
    <row r="7" spans="1:2" x14ac:dyDescent="0.3">
      <c r="A7" s="11" t="s">
        <v>313</v>
      </c>
      <c r="B7" s="12">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092B7-DFAF-4D41-AD58-96BD3CB6A2E8}">
  <dimension ref="A3:B9"/>
  <sheetViews>
    <sheetView workbookViewId="0">
      <selection activeCell="A3" sqref="A3"/>
    </sheetView>
  </sheetViews>
  <sheetFormatPr defaultRowHeight="14.4" x14ac:dyDescent="0.3"/>
  <cols>
    <col min="1" max="1" width="12.5546875" bestFit="1" customWidth="1"/>
    <col min="2" max="2" width="22.21875" bestFit="1" customWidth="1"/>
  </cols>
  <sheetData>
    <row r="3" spans="1:2" x14ac:dyDescent="0.3">
      <c r="A3" s="10" t="s">
        <v>312</v>
      </c>
      <c r="B3" t="s">
        <v>320</v>
      </c>
    </row>
    <row r="4" spans="1:2" x14ac:dyDescent="0.3">
      <c r="A4" s="11" t="s">
        <v>30</v>
      </c>
      <c r="B4" s="12">
        <v>4.2</v>
      </c>
    </row>
    <row r="5" spans="1:2" x14ac:dyDescent="0.3">
      <c r="A5" s="11" t="s">
        <v>17</v>
      </c>
      <c r="B5" s="12">
        <v>4.25</v>
      </c>
    </row>
    <row r="6" spans="1:2" x14ac:dyDescent="0.3">
      <c r="A6" s="11" t="s">
        <v>12</v>
      </c>
      <c r="B6" s="12">
        <v>3.625</v>
      </c>
    </row>
    <row r="7" spans="1:2" x14ac:dyDescent="0.3">
      <c r="A7" s="11" t="s">
        <v>21</v>
      </c>
      <c r="B7" s="12">
        <v>3.3333333333333335</v>
      </c>
    </row>
    <row r="8" spans="1:2" x14ac:dyDescent="0.3">
      <c r="A8" s="11" t="s">
        <v>33</v>
      </c>
      <c r="B8" s="12">
        <v>3.4285714285714284</v>
      </c>
    </row>
    <row r="9" spans="1:2" x14ac:dyDescent="0.3">
      <c r="A9" s="11" t="s">
        <v>313</v>
      </c>
      <c r="B9" s="12">
        <v>3.7647058823529411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17B9F-D054-494E-A4C0-A4559C992F61}">
  <dimension ref="A3:E10"/>
  <sheetViews>
    <sheetView workbookViewId="0">
      <selection activeCell="E4" sqref="E4:E10"/>
    </sheetView>
  </sheetViews>
  <sheetFormatPr defaultRowHeight="14.4" x14ac:dyDescent="0.3"/>
  <cols>
    <col min="1" max="1" width="15.88671875" bestFit="1" customWidth="1"/>
    <col min="2" max="2" width="15.5546875" bestFit="1" customWidth="1"/>
    <col min="3" max="3" width="8.88671875" bestFit="1" customWidth="1"/>
    <col min="4" max="4" width="10.77734375" bestFit="1" customWidth="1"/>
  </cols>
  <sheetData>
    <row r="3" spans="1:5" x14ac:dyDescent="0.3">
      <c r="A3" s="10" t="s">
        <v>316</v>
      </c>
      <c r="B3" s="10" t="s">
        <v>314</v>
      </c>
    </row>
    <row r="4" spans="1:5" x14ac:dyDescent="0.3">
      <c r="A4" s="10" t="s">
        <v>312</v>
      </c>
      <c r="B4" t="s">
        <v>14</v>
      </c>
      <c r="C4" t="s">
        <v>19</v>
      </c>
      <c r="D4" t="s">
        <v>313</v>
      </c>
      <c r="E4" t="s">
        <v>321</v>
      </c>
    </row>
    <row r="5" spans="1:5" x14ac:dyDescent="0.3">
      <c r="A5" s="11" t="s">
        <v>30</v>
      </c>
      <c r="B5" s="12">
        <v>5</v>
      </c>
      <c r="C5" s="12">
        <v>9</v>
      </c>
      <c r="D5" s="12">
        <v>14</v>
      </c>
      <c r="E5" s="14">
        <f>B5/D5</f>
        <v>0.35714285714285715</v>
      </c>
    </row>
    <row r="6" spans="1:5" x14ac:dyDescent="0.3">
      <c r="A6" s="11" t="s">
        <v>17</v>
      </c>
      <c r="B6" s="12">
        <v>3</v>
      </c>
      <c r="C6" s="12">
        <v>15</v>
      </c>
      <c r="D6" s="12">
        <v>18</v>
      </c>
      <c r="E6" s="14">
        <f t="shared" ref="E6:E10" si="0">B6/D6</f>
        <v>0.16666666666666666</v>
      </c>
    </row>
    <row r="7" spans="1:5" x14ac:dyDescent="0.3">
      <c r="A7" s="11" t="s">
        <v>12</v>
      </c>
      <c r="B7" s="12">
        <v>10</v>
      </c>
      <c r="C7" s="12">
        <v>15</v>
      </c>
      <c r="D7" s="12">
        <v>25</v>
      </c>
      <c r="E7" s="14">
        <f t="shared" si="0"/>
        <v>0.4</v>
      </c>
    </row>
    <row r="8" spans="1:5" x14ac:dyDescent="0.3">
      <c r="A8" s="11" t="s">
        <v>21</v>
      </c>
      <c r="B8" s="12">
        <v>4</v>
      </c>
      <c r="C8" s="12">
        <v>16</v>
      </c>
      <c r="D8" s="12">
        <v>20</v>
      </c>
      <c r="E8" s="14">
        <f t="shared" si="0"/>
        <v>0.2</v>
      </c>
    </row>
    <row r="9" spans="1:5" x14ac:dyDescent="0.3">
      <c r="A9" s="11" t="s">
        <v>33</v>
      </c>
      <c r="B9" s="12">
        <v>8</v>
      </c>
      <c r="C9" s="12">
        <v>15</v>
      </c>
      <c r="D9" s="12">
        <v>23</v>
      </c>
      <c r="E9" s="14">
        <f t="shared" si="0"/>
        <v>0.34782608695652173</v>
      </c>
    </row>
    <row r="10" spans="1:5" x14ac:dyDescent="0.3">
      <c r="A10" s="11" t="s">
        <v>313</v>
      </c>
      <c r="B10" s="12">
        <v>30</v>
      </c>
      <c r="C10" s="12">
        <v>70</v>
      </c>
      <c r="D10" s="12">
        <v>100</v>
      </c>
      <c r="E10" s="14">
        <f t="shared" si="0"/>
        <v>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52CDF-5852-40F3-9060-4860729FFEFB}">
  <dimension ref="A3:A4"/>
  <sheetViews>
    <sheetView workbookViewId="0">
      <selection activeCell="T11" sqref="T11"/>
    </sheetView>
  </sheetViews>
  <sheetFormatPr defaultRowHeight="14.4" x14ac:dyDescent="0.3"/>
  <cols>
    <col min="1" max="1" width="19.6640625" bestFit="1" customWidth="1"/>
  </cols>
  <sheetData>
    <row r="3" spans="1:1" x14ac:dyDescent="0.3">
      <c r="A3" t="s">
        <v>323</v>
      </c>
    </row>
    <row r="4" spans="1:1" x14ac:dyDescent="0.3">
      <c r="A4" s="12">
        <v>3010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28DE-61CC-48F1-8AE3-9906668DCB67}">
  <dimension ref="A3:B5"/>
  <sheetViews>
    <sheetView workbookViewId="0">
      <selection activeCell="G22" sqref="G22"/>
    </sheetView>
  </sheetViews>
  <sheetFormatPr defaultRowHeight="14.4" x14ac:dyDescent="0.3"/>
  <cols>
    <col min="1" max="1" width="12.5546875" bestFit="1" customWidth="1"/>
    <col min="2" max="2" width="19.21875" bestFit="1" customWidth="1"/>
  </cols>
  <sheetData>
    <row r="3" spans="1:2" x14ac:dyDescent="0.3">
      <c r="A3" s="10" t="s">
        <v>312</v>
      </c>
      <c r="B3" t="s">
        <v>315</v>
      </c>
    </row>
    <row r="4" spans="1:2" x14ac:dyDescent="0.3">
      <c r="A4" s="11" t="s">
        <v>30</v>
      </c>
      <c r="B4" s="12">
        <v>5456</v>
      </c>
    </row>
    <row r="5" spans="1:2" x14ac:dyDescent="0.3">
      <c r="A5" s="11" t="s">
        <v>313</v>
      </c>
      <c r="B5" s="12">
        <v>5456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8968-0B62-4F8B-BE03-E6A820054EDD}">
  <dimension ref="A3:B9"/>
  <sheetViews>
    <sheetView workbookViewId="0">
      <selection activeCell="N14" sqref="N14"/>
    </sheetView>
  </sheetViews>
  <sheetFormatPr defaultRowHeight="14.4" x14ac:dyDescent="0.3"/>
  <cols>
    <col min="1" max="1" width="12.5546875" bestFit="1" customWidth="1"/>
    <col min="2" max="2" width="19.21875" bestFit="1" customWidth="1"/>
  </cols>
  <sheetData>
    <row r="3" spans="1:2" x14ac:dyDescent="0.3">
      <c r="A3" s="10" t="s">
        <v>312</v>
      </c>
      <c r="B3" t="s">
        <v>315</v>
      </c>
    </row>
    <row r="4" spans="1:2" x14ac:dyDescent="0.3">
      <c r="A4" s="11" t="s">
        <v>218</v>
      </c>
      <c r="B4" s="12">
        <v>84</v>
      </c>
    </row>
    <row r="5" spans="1:2" x14ac:dyDescent="0.3">
      <c r="A5" s="11" t="s">
        <v>200</v>
      </c>
      <c r="B5" s="12">
        <v>2662</v>
      </c>
    </row>
    <row r="6" spans="1:2" x14ac:dyDescent="0.3">
      <c r="A6" s="11" t="s">
        <v>211</v>
      </c>
      <c r="B6" s="12">
        <v>210</v>
      </c>
    </row>
    <row r="7" spans="1:2" x14ac:dyDescent="0.3">
      <c r="A7" s="11" t="s">
        <v>206</v>
      </c>
      <c r="B7" s="12">
        <v>2063</v>
      </c>
    </row>
    <row r="8" spans="1:2" x14ac:dyDescent="0.3">
      <c r="A8" s="11" t="s">
        <v>203</v>
      </c>
      <c r="B8" s="12">
        <v>437</v>
      </c>
    </row>
    <row r="9" spans="1:2" x14ac:dyDescent="0.3">
      <c r="A9" s="11" t="s">
        <v>313</v>
      </c>
      <c r="B9" s="12">
        <v>5456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4D672-76C2-43C4-B8C2-0730C3D279F3}">
  <dimension ref="A3:B7"/>
  <sheetViews>
    <sheetView workbookViewId="0">
      <selection activeCell="K23" sqref="K23"/>
    </sheetView>
  </sheetViews>
  <sheetFormatPr defaultRowHeight="14.4" x14ac:dyDescent="0.3"/>
  <cols>
    <col min="1" max="1" width="12.5546875" bestFit="1" customWidth="1"/>
    <col min="2" max="2" width="15.88671875" bestFit="1" customWidth="1"/>
  </cols>
  <sheetData>
    <row r="3" spans="1:2" x14ac:dyDescent="0.3">
      <c r="A3" s="10" t="s">
        <v>312</v>
      </c>
      <c r="B3" t="s">
        <v>316</v>
      </c>
    </row>
    <row r="4" spans="1:2" x14ac:dyDescent="0.3">
      <c r="A4" s="11" t="s">
        <v>14</v>
      </c>
      <c r="B4" s="12">
        <v>5</v>
      </c>
    </row>
    <row r="5" spans="1:2" x14ac:dyDescent="0.3">
      <c r="A5" s="11" t="s">
        <v>19</v>
      </c>
      <c r="B5" s="12">
        <v>5</v>
      </c>
    </row>
    <row r="6" spans="1:2" x14ac:dyDescent="0.3">
      <c r="A6" s="11" t="s">
        <v>22</v>
      </c>
      <c r="B6" s="12">
        <v>4</v>
      </c>
    </row>
    <row r="7" spans="1:2" x14ac:dyDescent="0.3">
      <c r="A7" s="11" t="s">
        <v>313</v>
      </c>
      <c r="B7" s="12">
        <v>14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48741-6189-444A-A000-E83CEF60BD7E}">
  <dimension ref="U17:W28"/>
  <sheetViews>
    <sheetView showGridLines="0" tabSelected="1" topLeftCell="A14" workbookViewId="0">
      <selection activeCell="W21" sqref="W21"/>
    </sheetView>
  </sheetViews>
  <sheetFormatPr defaultRowHeight="14.4" x14ac:dyDescent="0.3"/>
  <cols>
    <col min="23" max="23" width="19.21875" bestFit="1" customWidth="1"/>
  </cols>
  <sheetData>
    <row r="17" spans="21:23" x14ac:dyDescent="0.3">
      <c r="U17" s="16"/>
      <c r="W17" t="s">
        <v>315</v>
      </c>
    </row>
    <row r="18" spans="21:23" x14ac:dyDescent="0.3">
      <c r="W18" s="12">
        <v>5456</v>
      </c>
    </row>
    <row r="20" spans="21:23" x14ac:dyDescent="0.3">
      <c r="W20" s="15">
        <f>Sheet17!C5</f>
        <v>7.1428571428571425E-2</v>
      </c>
    </row>
    <row r="22" spans="21:23" x14ac:dyDescent="0.3">
      <c r="W22" t="s">
        <v>200</v>
      </c>
    </row>
    <row r="28" spans="21:23" x14ac:dyDescent="0.3">
      <c r="W28" t="s">
        <v>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14FC4-AA2F-43E4-8C9F-25FB7F56BF52}">
  <dimension ref="A3:B5"/>
  <sheetViews>
    <sheetView workbookViewId="0">
      <selection activeCell="T11" sqref="T11"/>
    </sheetView>
  </sheetViews>
  <sheetFormatPr defaultRowHeight="14.4" x14ac:dyDescent="0.3"/>
  <cols>
    <col min="1" max="1" width="12.5546875" bestFit="1" customWidth="1"/>
    <col min="2" max="2" width="19.21875" bestFit="1" customWidth="1"/>
  </cols>
  <sheetData>
    <row r="3" spans="1:2" x14ac:dyDescent="0.3">
      <c r="A3" s="10" t="s">
        <v>312</v>
      </c>
      <c r="B3" t="s">
        <v>315</v>
      </c>
    </row>
    <row r="4" spans="1:2" x14ac:dyDescent="0.3">
      <c r="A4" s="11" t="s">
        <v>30</v>
      </c>
      <c r="B4" s="12">
        <v>5456</v>
      </c>
    </row>
    <row r="5" spans="1:2" x14ac:dyDescent="0.3">
      <c r="A5" s="11" t="s">
        <v>313</v>
      </c>
      <c r="B5" s="12">
        <v>5456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12000-8D80-4FD0-98AE-17BB13341684}">
  <dimension ref="A3:B9"/>
  <sheetViews>
    <sheetView workbookViewId="0">
      <selection activeCell="A3" sqref="A3"/>
    </sheetView>
  </sheetViews>
  <sheetFormatPr defaultRowHeight="14.4" x14ac:dyDescent="0.3"/>
  <cols>
    <col min="1" max="1" width="12.5546875" bestFit="1" customWidth="1"/>
    <col min="2" max="2" width="19.21875" bestFit="1" customWidth="1"/>
  </cols>
  <sheetData>
    <row r="3" spans="1:2" x14ac:dyDescent="0.3">
      <c r="A3" s="10" t="s">
        <v>312</v>
      </c>
      <c r="B3" t="s">
        <v>315</v>
      </c>
    </row>
    <row r="4" spans="1:2" x14ac:dyDescent="0.3">
      <c r="A4" s="11" t="s">
        <v>218</v>
      </c>
      <c r="B4" s="12">
        <v>84</v>
      </c>
    </row>
    <row r="5" spans="1:2" x14ac:dyDescent="0.3">
      <c r="A5" s="11" t="s">
        <v>200</v>
      </c>
      <c r="B5" s="12">
        <v>2662</v>
      </c>
    </row>
    <row r="6" spans="1:2" x14ac:dyDescent="0.3">
      <c r="A6" s="11" t="s">
        <v>211</v>
      </c>
      <c r="B6" s="12">
        <v>210</v>
      </c>
    </row>
    <row r="7" spans="1:2" x14ac:dyDescent="0.3">
      <c r="A7" s="11" t="s">
        <v>206</v>
      </c>
      <c r="B7" s="12">
        <v>2063</v>
      </c>
    </row>
    <row r="8" spans="1:2" x14ac:dyDescent="0.3">
      <c r="A8" s="11" t="s">
        <v>203</v>
      </c>
      <c r="B8" s="12">
        <v>437</v>
      </c>
    </row>
    <row r="9" spans="1:2" x14ac:dyDescent="0.3">
      <c r="A9" s="11" t="s">
        <v>313</v>
      </c>
      <c r="B9" s="12">
        <v>5456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56589-3F3F-4B84-9970-76D19692470C}">
  <dimension ref="A3:A4"/>
  <sheetViews>
    <sheetView workbookViewId="0">
      <selection activeCell="A3" sqref="A3:A4"/>
    </sheetView>
  </sheetViews>
  <sheetFormatPr defaultRowHeight="14.4" x14ac:dyDescent="0.3"/>
  <cols>
    <col min="1" max="1" width="19.21875" bestFit="1" customWidth="1"/>
  </cols>
  <sheetData>
    <row r="3" spans="1:1" x14ac:dyDescent="0.3">
      <c r="A3" t="s">
        <v>315</v>
      </c>
    </row>
    <row r="4" spans="1:1" x14ac:dyDescent="0.3">
      <c r="A4" s="12">
        <v>5456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D0DA7-2DDE-40B5-8381-24D07C174F9E}">
  <dimension ref="A3:C7"/>
  <sheetViews>
    <sheetView workbookViewId="0">
      <selection activeCell="F11" sqref="F11"/>
    </sheetView>
  </sheetViews>
  <sheetFormatPr defaultRowHeight="14.4" x14ac:dyDescent="0.3"/>
  <cols>
    <col min="1" max="1" width="12.5546875" bestFit="1" customWidth="1"/>
    <col min="2" max="2" width="15.88671875" bestFit="1" customWidth="1"/>
  </cols>
  <sheetData>
    <row r="3" spans="1:3" x14ac:dyDescent="0.3">
      <c r="A3" s="10" t="s">
        <v>312</v>
      </c>
      <c r="B3" t="s">
        <v>316</v>
      </c>
    </row>
    <row r="4" spans="1:3" x14ac:dyDescent="0.3">
      <c r="A4" s="11" t="s">
        <v>14</v>
      </c>
      <c r="B4" s="12">
        <v>9</v>
      </c>
    </row>
    <row r="5" spans="1:3" x14ac:dyDescent="0.3">
      <c r="A5" s="11" t="s">
        <v>324</v>
      </c>
      <c r="B5" s="12">
        <v>1</v>
      </c>
      <c r="C5" s="15">
        <f>B5/B7</f>
        <v>7.1428571428571425E-2</v>
      </c>
    </row>
    <row r="6" spans="1:3" x14ac:dyDescent="0.3">
      <c r="A6" s="11" t="s">
        <v>325</v>
      </c>
      <c r="B6" s="12">
        <v>4</v>
      </c>
    </row>
    <row r="7" spans="1:3" x14ac:dyDescent="0.3">
      <c r="A7" s="11" t="s">
        <v>313</v>
      </c>
      <c r="B7" s="12">
        <v>14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3B946-5C2E-45F0-9230-3378927C716B}">
  <dimension ref="A1:T101"/>
  <sheetViews>
    <sheetView workbookViewId="0">
      <selection activeCell="G6" sqref="A1:T101"/>
    </sheetView>
  </sheetViews>
  <sheetFormatPr defaultRowHeight="14.4" x14ac:dyDescent="0.3"/>
  <cols>
    <col min="1" max="1" width="8.6640625" bestFit="1" customWidth="1"/>
    <col min="2" max="2" width="11.109375" bestFit="1" customWidth="1"/>
    <col min="3" max="3" width="9.5546875" bestFit="1" customWidth="1"/>
    <col min="4" max="4" width="6.88671875" bestFit="1" customWidth="1"/>
    <col min="5" max="5" width="13.109375" bestFit="1" customWidth="1"/>
    <col min="6" max="6" width="8" bestFit="1" customWidth="1"/>
    <col min="7" max="7" width="12.109375" bestFit="1" customWidth="1"/>
    <col min="8" max="8" width="15.109375" bestFit="1" customWidth="1"/>
    <col min="9" max="9" width="13.109375" bestFit="1" customWidth="1"/>
    <col min="10" max="10" width="16.109375" bestFit="1" customWidth="1"/>
    <col min="11" max="11" width="10.33203125" bestFit="1" customWidth="1"/>
    <col min="12" max="12" width="11.88671875" bestFit="1" customWidth="1"/>
    <col min="13" max="13" width="10.77734375" bestFit="1" customWidth="1"/>
    <col min="14" max="15" width="11.88671875" customWidth="1"/>
    <col min="16" max="16" width="18.109375" customWidth="1"/>
    <col min="17" max="17" width="14.77734375" customWidth="1"/>
    <col min="18" max="18" width="17.77734375" customWidth="1"/>
    <col min="19" max="19" width="14.77734375" customWidth="1"/>
    <col min="20" max="20" width="12.77734375" customWidth="1"/>
  </cols>
  <sheetData>
    <row r="1" spans="1:20" x14ac:dyDescent="0.3">
      <c r="A1" s="1" t="s">
        <v>51</v>
      </c>
      <c r="B1" s="1" t="s">
        <v>52</v>
      </c>
      <c r="C1" s="1" t="s">
        <v>0</v>
      </c>
      <c r="D1" s="1" t="s">
        <v>1</v>
      </c>
      <c r="E1" s="1" t="s">
        <v>2</v>
      </c>
      <c r="F1" s="1" t="s">
        <v>3</v>
      </c>
      <c r="G1" s="1" t="s">
        <v>4</v>
      </c>
      <c r="H1" s="1" t="s">
        <v>5</v>
      </c>
      <c r="I1" s="1" t="s">
        <v>6</v>
      </c>
      <c r="J1" s="1" t="s">
        <v>7</v>
      </c>
      <c r="K1" s="2" t="s">
        <v>8</v>
      </c>
      <c r="L1" s="2" t="s">
        <v>9</v>
      </c>
      <c r="M1" s="2" t="s">
        <v>10</v>
      </c>
      <c r="N1" s="3" t="s">
        <v>318</v>
      </c>
      <c r="O1" s="3" t="s">
        <v>319</v>
      </c>
      <c r="P1" s="3" t="s">
        <v>317</v>
      </c>
      <c r="Q1" s="3" t="s">
        <v>249</v>
      </c>
      <c r="R1" s="13" t="s">
        <v>311</v>
      </c>
      <c r="S1" s="13" t="s">
        <v>53</v>
      </c>
      <c r="T1" s="13" t="s">
        <v>322</v>
      </c>
    </row>
    <row r="2" spans="1:20" x14ac:dyDescent="0.3">
      <c r="A2" s="1" t="s">
        <v>54</v>
      </c>
      <c r="B2" s="1" t="s">
        <v>55</v>
      </c>
      <c r="C2" s="1" t="s">
        <v>11</v>
      </c>
      <c r="D2" s="1" t="s">
        <v>12</v>
      </c>
      <c r="E2" s="1">
        <v>44</v>
      </c>
      <c r="F2" s="1">
        <v>1</v>
      </c>
      <c r="G2" s="1">
        <v>44</v>
      </c>
      <c r="H2" s="1" t="s">
        <v>13</v>
      </c>
      <c r="I2" s="1" t="s">
        <v>14</v>
      </c>
      <c r="J2" s="1" t="s">
        <v>15</v>
      </c>
      <c r="K2" s="2">
        <v>45291</v>
      </c>
      <c r="L2" s="2"/>
      <c r="M2" s="2">
        <v>45293</v>
      </c>
      <c r="N2" t="str">
        <f>IF(M2&lt;&gt;"","Cancelled","Delivered")</f>
        <v>Cancelled</v>
      </c>
      <c r="O2" t="str">
        <f>IF(L2&lt;&gt;"",L2-K2,"NA")</f>
        <v>NA</v>
      </c>
      <c r="P2" t="str">
        <f>IF(L2="","Cancelled",IF(L2-K2&lt;=2,"Fast","Slow"))</f>
        <v>Cancelled</v>
      </c>
      <c r="Q2" t="str">
        <f>_xlfn.XLOOKUP(Orders!B2,'Customer Master'!$A$1:$A$50,'Customer Master'!$B$1:$B$50)</f>
        <v>Zoe Mitchell</v>
      </c>
      <c r="R2" t="str">
        <f>_xlfn.XLOOKUP(Orders!C2,'Product Master'!$A$1:$A$23,'Product Master'!$C$1:$C$23)</f>
        <v>Home</v>
      </c>
      <c r="S2" t="str">
        <f>_xlfn.XLOOKUP(C2,'Product Master'!$A$1:$A$23,'Product Master'!$B$1:$B$23)</f>
        <v>Lamp</v>
      </c>
      <c r="T2">
        <f>IF(I2="Delivered",G2,0)</f>
        <v>0</v>
      </c>
    </row>
    <row r="3" spans="1:20" x14ac:dyDescent="0.3">
      <c r="A3" s="1" t="s">
        <v>56</v>
      </c>
      <c r="B3" s="1" t="s">
        <v>57</v>
      </c>
      <c r="C3" s="1" t="s">
        <v>16</v>
      </c>
      <c r="D3" s="1" t="s">
        <v>17</v>
      </c>
      <c r="E3" s="1">
        <v>96</v>
      </c>
      <c r="F3" s="1">
        <v>4</v>
      </c>
      <c r="G3" s="1">
        <v>384</v>
      </c>
      <c r="H3" s="1" t="s">
        <v>18</v>
      </c>
      <c r="I3" s="1" t="s">
        <v>19</v>
      </c>
      <c r="J3" s="1" t="s">
        <v>15</v>
      </c>
      <c r="K3" s="2">
        <v>44979</v>
      </c>
      <c r="L3" s="2">
        <v>44981</v>
      </c>
      <c r="M3" s="2"/>
      <c r="N3" t="str">
        <f t="shared" ref="N3:N66" si="0">IF(M3&lt;&gt;"","Cancelled","Delivered")</f>
        <v>Delivered</v>
      </c>
      <c r="O3">
        <f t="shared" ref="O3:O66" si="1">IF(L3&lt;&gt;"",L3-K3,"NA")</f>
        <v>2</v>
      </c>
      <c r="P3" t="str">
        <f t="shared" ref="P3:P66" si="2">IF(L3="","Cancelled",IF(L3-K3&lt;=2,"Fast","Slow"))</f>
        <v>Fast</v>
      </c>
      <c r="Q3" t="str">
        <f>_xlfn.XLOOKUP(Orders!B3,'Customer Master'!$A$1:$A$50,'Customer Master'!$B$1:$B$50)</f>
        <v>Ava White</v>
      </c>
      <c r="R3" t="str">
        <f>_xlfn.XLOOKUP(Orders!C3,'Product Master'!$A$1:$A$23,'Product Master'!$C$1:$C$23)</f>
        <v>Toys</v>
      </c>
      <c r="S3" t="str">
        <f>_xlfn.XLOOKUP(C3,'Product Master'!$A$1:$A$23,'Product Master'!$B$1:$B$23)</f>
        <v>Doll House</v>
      </c>
      <c r="T3">
        <f t="shared" ref="T3:T66" si="3">IF(I3="Delivered",G3,0)</f>
        <v>384</v>
      </c>
    </row>
    <row r="4" spans="1:20" x14ac:dyDescent="0.3">
      <c r="A4" s="1" t="s">
        <v>58</v>
      </c>
      <c r="B4" s="1" t="s">
        <v>55</v>
      </c>
      <c r="C4" s="1" t="s">
        <v>20</v>
      </c>
      <c r="D4" s="1" t="s">
        <v>21</v>
      </c>
      <c r="E4" s="1">
        <v>194</v>
      </c>
      <c r="F4" s="1">
        <v>4</v>
      </c>
      <c r="G4" s="1">
        <v>776</v>
      </c>
      <c r="H4" s="1" t="s">
        <v>18</v>
      </c>
      <c r="I4" s="1" t="s">
        <v>22</v>
      </c>
      <c r="J4" s="1" t="s">
        <v>23</v>
      </c>
      <c r="K4" s="2">
        <v>45210</v>
      </c>
      <c r="L4" s="2"/>
      <c r="M4" s="2"/>
      <c r="N4" t="str">
        <f t="shared" si="0"/>
        <v>Delivered</v>
      </c>
      <c r="O4" t="str">
        <f t="shared" si="1"/>
        <v>NA</v>
      </c>
      <c r="P4" t="str">
        <f t="shared" si="2"/>
        <v>Cancelled</v>
      </c>
      <c r="Q4" t="str">
        <f>_xlfn.XLOOKUP(Orders!B4,'Customer Master'!$A$1:$A$50,'Customer Master'!$B$1:$B$50)</f>
        <v>Zoe Mitchell</v>
      </c>
      <c r="R4" t="str">
        <f>_xlfn.XLOOKUP(Orders!C4,'Product Master'!$A$1:$A$23,'Product Master'!$C$1:$C$23)</f>
        <v>Home</v>
      </c>
      <c r="S4" t="str">
        <f>_xlfn.XLOOKUP(C4,'Product Master'!$A$1:$A$23,'Product Master'!$B$1:$B$23)</f>
        <v>Vacuum Cleaner</v>
      </c>
      <c r="T4">
        <f t="shared" si="3"/>
        <v>0</v>
      </c>
    </row>
    <row r="5" spans="1:20" x14ac:dyDescent="0.3">
      <c r="A5" s="1" t="s">
        <v>59</v>
      </c>
      <c r="B5" s="1" t="s">
        <v>60</v>
      </c>
      <c r="C5" s="1" t="s">
        <v>20</v>
      </c>
      <c r="D5" s="1" t="s">
        <v>12</v>
      </c>
      <c r="E5" s="1">
        <v>196</v>
      </c>
      <c r="F5" s="1">
        <v>3</v>
      </c>
      <c r="G5" s="1">
        <v>588</v>
      </c>
      <c r="H5" s="1" t="s">
        <v>24</v>
      </c>
      <c r="I5" s="1" t="s">
        <v>14</v>
      </c>
      <c r="J5" s="1" t="s">
        <v>25</v>
      </c>
      <c r="K5" s="2">
        <v>45051</v>
      </c>
      <c r="L5" s="2"/>
      <c r="M5" s="2">
        <v>45057</v>
      </c>
      <c r="N5" t="str">
        <f t="shared" si="0"/>
        <v>Cancelled</v>
      </c>
      <c r="O5" t="str">
        <f t="shared" si="1"/>
        <v>NA</v>
      </c>
      <c r="P5" t="str">
        <f t="shared" si="2"/>
        <v>Cancelled</v>
      </c>
      <c r="Q5" t="str">
        <f>_xlfn.XLOOKUP(Orders!B5,'Customer Master'!$A$1:$A$50,'Customer Master'!$B$1:$B$50)</f>
        <v>Grace Ward</v>
      </c>
      <c r="R5" t="str">
        <f>_xlfn.XLOOKUP(Orders!C5,'Product Master'!$A$1:$A$23,'Product Master'!$C$1:$C$23)</f>
        <v>Home</v>
      </c>
      <c r="S5" t="str">
        <f>_xlfn.XLOOKUP(C5,'Product Master'!$A$1:$A$23,'Product Master'!$B$1:$B$23)</f>
        <v>Vacuum Cleaner</v>
      </c>
      <c r="T5">
        <f t="shared" si="3"/>
        <v>0</v>
      </c>
    </row>
    <row r="6" spans="1:20" x14ac:dyDescent="0.3">
      <c r="A6" s="1" t="s">
        <v>61</v>
      </c>
      <c r="B6" s="1" t="s">
        <v>62</v>
      </c>
      <c r="C6" s="1" t="s">
        <v>26</v>
      </c>
      <c r="D6" s="1" t="s">
        <v>12</v>
      </c>
      <c r="E6" s="1">
        <v>59</v>
      </c>
      <c r="F6" s="1">
        <v>1</v>
      </c>
      <c r="G6" s="1">
        <v>59</v>
      </c>
      <c r="H6" s="1" t="s">
        <v>24</v>
      </c>
      <c r="I6" s="1" t="s">
        <v>19</v>
      </c>
      <c r="J6" s="1" t="s">
        <v>27</v>
      </c>
      <c r="K6" s="2">
        <v>44959</v>
      </c>
      <c r="L6" s="2">
        <v>44962</v>
      </c>
      <c r="M6" s="2"/>
      <c r="N6" t="str">
        <f t="shared" si="0"/>
        <v>Delivered</v>
      </c>
      <c r="O6">
        <f t="shared" si="1"/>
        <v>3</v>
      </c>
      <c r="P6" t="str">
        <f t="shared" si="2"/>
        <v>Slow</v>
      </c>
      <c r="Q6" t="str">
        <f>_xlfn.XLOOKUP(Orders!B6,'Customer Master'!$A$1:$A$50,'Customer Master'!$B$1:$B$50)</f>
        <v>Hazel Brooks</v>
      </c>
      <c r="R6" t="str">
        <f>_xlfn.XLOOKUP(Orders!C6,'Product Master'!$A$1:$A$23,'Product Master'!$C$1:$C$23)</f>
        <v>Fashion</v>
      </c>
      <c r="S6" t="str">
        <f>_xlfn.XLOOKUP(C6,'Product Master'!$A$1:$A$23,'Product Master'!$B$1:$B$23)</f>
        <v>Jeans</v>
      </c>
      <c r="T6">
        <f t="shared" si="3"/>
        <v>59</v>
      </c>
    </row>
    <row r="7" spans="1:20" x14ac:dyDescent="0.3">
      <c r="A7" s="1" t="s">
        <v>63</v>
      </c>
      <c r="B7" s="1" t="s">
        <v>64</v>
      </c>
      <c r="C7" s="1" t="s">
        <v>26</v>
      </c>
      <c r="D7" s="1" t="s">
        <v>12</v>
      </c>
      <c r="E7" s="1">
        <v>58</v>
      </c>
      <c r="F7" s="1">
        <v>4</v>
      </c>
      <c r="G7" s="1">
        <v>232</v>
      </c>
      <c r="H7" s="1" t="s">
        <v>28</v>
      </c>
      <c r="I7" s="1" t="s">
        <v>14</v>
      </c>
      <c r="J7" s="1" t="s">
        <v>15</v>
      </c>
      <c r="K7" s="2">
        <v>45231</v>
      </c>
      <c r="L7" s="2"/>
      <c r="M7" s="2">
        <v>45232</v>
      </c>
      <c r="N7" t="str">
        <f t="shared" si="0"/>
        <v>Cancelled</v>
      </c>
      <c r="O7" t="str">
        <f t="shared" si="1"/>
        <v>NA</v>
      </c>
      <c r="P7" t="str">
        <f t="shared" si="2"/>
        <v>Cancelled</v>
      </c>
      <c r="Q7" t="str">
        <f>_xlfn.XLOOKUP(Orders!B7,'Customer Master'!$A$1:$A$50,'Customer Master'!$B$1:$B$50)</f>
        <v>Jackson Allen</v>
      </c>
      <c r="R7" t="str">
        <f>_xlfn.XLOOKUP(Orders!C7,'Product Master'!$A$1:$A$23,'Product Master'!$C$1:$C$23)</f>
        <v>Fashion</v>
      </c>
      <c r="S7" t="str">
        <f>_xlfn.XLOOKUP(C7,'Product Master'!$A$1:$A$23,'Product Master'!$B$1:$B$23)</f>
        <v>Jeans</v>
      </c>
      <c r="T7">
        <f t="shared" si="3"/>
        <v>0</v>
      </c>
    </row>
    <row r="8" spans="1:20" x14ac:dyDescent="0.3">
      <c r="A8" s="1" t="s">
        <v>65</v>
      </c>
      <c r="B8" s="1" t="s">
        <v>66</v>
      </c>
      <c r="C8" s="1" t="s">
        <v>29</v>
      </c>
      <c r="D8" s="1" t="s">
        <v>30</v>
      </c>
      <c r="E8" s="1">
        <v>105</v>
      </c>
      <c r="F8" s="1">
        <v>3</v>
      </c>
      <c r="G8" s="1">
        <v>315</v>
      </c>
      <c r="H8" s="1" t="s">
        <v>31</v>
      </c>
      <c r="I8" s="1" t="s">
        <v>14</v>
      </c>
      <c r="J8" s="1" t="s">
        <v>15</v>
      </c>
      <c r="K8" s="2">
        <v>45152</v>
      </c>
      <c r="L8" s="2"/>
      <c r="M8" s="2">
        <v>45156</v>
      </c>
      <c r="N8" t="str">
        <f t="shared" si="0"/>
        <v>Cancelled</v>
      </c>
      <c r="O8" t="str">
        <f t="shared" si="1"/>
        <v>NA</v>
      </c>
      <c r="P8" t="str">
        <f t="shared" si="2"/>
        <v>Cancelled</v>
      </c>
      <c r="Q8" t="str">
        <f>_xlfn.XLOOKUP(Orders!B8,'Customer Master'!$A$1:$A$50,'Customer Master'!$B$1:$B$50)</f>
        <v>Noah Wilson</v>
      </c>
      <c r="R8" t="str">
        <f>_xlfn.XLOOKUP(Orders!C8,'Product Master'!$A$1:$A$23,'Product Master'!$C$1:$C$23)</f>
        <v>Electronics</v>
      </c>
      <c r="S8" t="str">
        <f>_xlfn.XLOOKUP(C8,'Product Master'!$A$1:$A$23,'Product Master'!$B$1:$B$23)</f>
        <v>Bluetooth Speaker</v>
      </c>
      <c r="T8">
        <f t="shared" si="3"/>
        <v>0</v>
      </c>
    </row>
    <row r="9" spans="1:20" x14ac:dyDescent="0.3">
      <c r="A9" s="1" t="s">
        <v>67</v>
      </c>
      <c r="B9" s="1" t="s">
        <v>68</v>
      </c>
      <c r="C9" s="1" t="s">
        <v>32</v>
      </c>
      <c r="D9" s="1" t="s">
        <v>33</v>
      </c>
      <c r="E9" s="1">
        <v>37</v>
      </c>
      <c r="F9" s="1">
        <v>5</v>
      </c>
      <c r="G9" s="1">
        <v>185</v>
      </c>
      <c r="H9" s="1" t="s">
        <v>24</v>
      </c>
      <c r="I9" s="1" t="s">
        <v>14</v>
      </c>
      <c r="J9" s="1" t="s">
        <v>15</v>
      </c>
      <c r="K9" s="2">
        <v>45017</v>
      </c>
      <c r="L9" s="2"/>
      <c r="M9" s="2">
        <v>45022</v>
      </c>
      <c r="N9" t="str">
        <f t="shared" si="0"/>
        <v>Cancelled</v>
      </c>
      <c r="O9" t="str">
        <f t="shared" si="1"/>
        <v>NA</v>
      </c>
      <c r="P9" t="str">
        <f t="shared" si="2"/>
        <v>Cancelled</v>
      </c>
      <c r="Q9" t="str">
        <f>_xlfn.XLOOKUP(Orders!B9,'Customer Master'!$A$1:$A$50,'Customer Master'!$B$1:$B$50)</f>
        <v>Ava Robinson</v>
      </c>
      <c r="R9" t="str">
        <f>_xlfn.XLOOKUP(Orders!C9,'Product Master'!$A$1:$A$23,'Product Master'!$C$1:$C$23)</f>
        <v>Home</v>
      </c>
      <c r="S9" t="str">
        <f>_xlfn.XLOOKUP(C9,'Product Master'!$A$1:$A$23,'Product Master'!$B$1:$B$23)</f>
        <v>Wall Clock</v>
      </c>
      <c r="T9">
        <f t="shared" si="3"/>
        <v>0</v>
      </c>
    </row>
    <row r="10" spans="1:20" x14ac:dyDescent="0.3">
      <c r="A10" s="1" t="s">
        <v>69</v>
      </c>
      <c r="B10" s="1" t="s">
        <v>70</v>
      </c>
      <c r="C10" s="1" t="s">
        <v>34</v>
      </c>
      <c r="D10" s="1" t="s">
        <v>30</v>
      </c>
      <c r="E10" s="1">
        <v>44</v>
      </c>
      <c r="F10" s="1">
        <v>2</v>
      </c>
      <c r="G10" s="1">
        <v>88</v>
      </c>
      <c r="H10" s="1" t="s">
        <v>18</v>
      </c>
      <c r="I10" s="1" t="s">
        <v>22</v>
      </c>
      <c r="J10" s="1" t="s">
        <v>27</v>
      </c>
      <c r="K10" s="2">
        <v>45128</v>
      </c>
      <c r="L10" s="2"/>
      <c r="M10" s="2"/>
      <c r="N10" t="str">
        <f t="shared" si="0"/>
        <v>Delivered</v>
      </c>
      <c r="O10" t="str">
        <f t="shared" si="1"/>
        <v>NA</v>
      </c>
      <c r="P10" t="str">
        <f t="shared" si="2"/>
        <v>Cancelled</v>
      </c>
      <c r="Q10" t="str">
        <f>_xlfn.XLOOKUP(Orders!B10,'Customer Master'!$A$1:$A$50,'Customer Master'!$B$1:$B$50)</f>
        <v>Olivia Martinez</v>
      </c>
      <c r="R10" t="str">
        <f>_xlfn.XLOOKUP(Orders!C10,'Product Master'!$A$1:$A$23,'Product Master'!$C$1:$C$23)</f>
        <v>Fashion</v>
      </c>
      <c r="S10" t="str">
        <f>_xlfn.XLOOKUP(C10,'Product Master'!$A$1:$A$23,'Product Master'!$B$1:$B$23)</f>
        <v>Formal Shirt</v>
      </c>
      <c r="T10">
        <f t="shared" si="3"/>
        <v>0</v>
      </c>
    </row>
    <row r="11" spans="1:20" x14ac:dyDescent="0.3">
      <c r="A11" s="1" t="s">
        <v>71</v>
      </c>
      <c r="B11" s="1" t="s">
        <v>68</v>
      </c>
      <c r="C11" s="1" t="s">
        <v>35</v>
      </c>
      <c r="D11" s="1" t="s">
        <v>21</v>
      </c>
      <c r="E11" s="1">
        <v>141</v>
      </c>
      <c r="F11" s="1">
        <v>4</v>
      </c>
      <c r="G11" s="1">
        <v>564</v>
      </c>
      <c r="H11" s="1" t="s">
        <v>31</v>
      </c>
      <c r="I11" s="1" t="s">
        <v>22</v>
      </c>
      <c r="J11" s="1" t="s">
        <v>15</v>
      </c>
      <c r="K11" s="2">
        <v>45289</v>
      </c>
      <c r="L11" s="2"/>
      <c r="M11" s="2"/>
      <c r="N11" t="str">
        <f t="shared" si="0"/>
        <v>Delivered</v>
      </c>
      <c r="O11" t="str">
        <f t="shared" si="1"/>
        <v>NA</v>
      </c>
      <c r="P11" t="str">
        <f t="shared" si="2"/>
        <v>Cancelled</v>
      </c>
      <c r="Q11" t="str">
        <f>_xlfn.XLOOKUP(Orders!B11,'Customer Master'!$A$1:$A$50,'Customer Master'!$B$1:$B$50)</f>
        <v>Ava Robinson</v>
      </c>
      <c r="R11" t="str">
        <f>_xlfn.XLOOKUP(Orders!C11,'Product Master'!$A$1:$A$23,'Product Master'!$C$1:$C$23)</f>
        <v>Home</v>
      </c>
      <c r="S11" t="str">
        <f>_xlfn.XLOOKUP(C11,'Product Master'!$A$1:$A$23,'Product Master'!$B$1:$B$23)</f>
        <v>Cookware Set</v>
      </c>
      <c r="T11">
        <f t="shared" si="3"/>
        <v>0</v>
      </c>
    </row>
    <row r="12" spans="1:20" x14ac:dyDescent="0.3">
      <c r="A12" s="1" t="s">
        <v>72</v>
      </c>
      <c r="B12" s="1" t="s">
        <v>73</v>
      </c>
      <c r="C12" s="1" t="s">
        <v>36</v>
      </c>
      <c r="D12" s="1" t="s">
        <v>21</v>
      </c>
      <c r="E12" s="1">
        <v>249</v>
      </c>
      <c r="F12" s="1">
        <v>1</v>
      </c>
      <c r="G12" s="1">
        <v>249</v>
      </c>
      <c r="H12" s="1" t="s">
        <v>28</v>
      </c>
      <c r="I12" s="1" t="s">
        <v>14</v>
      </c>
      <c r="J12" s="1" t="s">
        <v>23</v>
      </c>
      <c r="K12" s="2">
        <v>45050</v>
      </c>
      <c r="L12" s="2"/>
      <c r="M12" s="2">
        <v>45054</v>
      </c>
      <c r="N12" t="str">
        <f t="shared" si="0"/>
        <v>Cancelled</v>
      </c>
      <c r="O12" t="str">
        <f t="shared" si="1"/>
        <v>NA</v>
      </c>
      <c r="P12" t="str">
        <f t="shared" si="2"/>
        <v>Cancelled</v>
      </c>
      <c r="Q12" t="str">
        <f>_xlfn.XLOOKUP(Orders!B12,'Customer Master'!$A$1:$A$50,'Customer Master'!$B$1:$B$50)</f>
        <v>Emily Johnson</v>
      </c>
      <c r="R12" t="str">
        <f>_xlfn.XLOOKUP(Orders!C12,'Product Master'!$A$1:$A$23,'Product Master'!$C$1:$C$23)</f>
        <v>Electronics</v>
      </c>
      <c r="S12" t="str">
        <f>_xlfn.XLOOKUP(C12,'Product Master'!$A$1:$A$23,'Product Master'!$B$1:$B$23)</f>
        <v>Smartwatch</v>
      </c>
      <c r="T12">
        <f t="shared" si="3"/>
        <v>0</v>
      </c>
    </row>
    <row r="13" spans="1:20" x14ac:dyDescent="0.3">
      <c r="A13" s="1" t="s">
        <v>74</v>
      </c>
      <c r="B13" s="1" t="s">
        <v>75</v>
      </c>
      <c r="C13" s="1" t="s">
        <v>36</v>
      </c>
      <c r="D13" s="1" t="s">
        <v>30</v>
      </c>
      <c r="E13" s="1">
        <v>247</v>
      </c>
      <c r="F13" s="1">
        <v>3</v>
      </c>
      <c r="G13" s="1">
        <v>741</v>
      </c>
      <c r="H13" s="1" t="s">
        <v>28</v>
      </c>
      <c r="I13" s="1" t="s">
        <v>22</v>
      </c>
      <c r="J13" s="1" t="s">
        <v>37</v>
      </c>
      <c r="K13" s="2">
        <v>45132</v>
      </c>
      <c r="L13" s="2"/>
      <c r="M13" s="2"/>
      <c r="N13" t="str">
        <f t="shared" si="0"/>
        <v>Delivered</v>
      </c>
      <c r="O13" t="str">
        <f t="shared" si="1"/>
        <v>NA</v>
      </c>
      <c r="P13" t="str">
        <f t="shared" si="2"/>
        <v>Cancelled</v>
      </c>
      <c r="Q13" t="str">
        <f>_xlfn.XLOOKUP(Orders!B13,'Customer Master'!$A$1:$A$50,'Customer Master'!$B$1:$B$50)</f>
        <v>Emily Johnson</v>
      </c>
      <c r="R13" t="str">
        <f>_xlfn.XLOOKUP(Orders!C13,'Product Master'!$A$1:$A$23,'Product Master'!$C$1:$C$23)</f>
        <v>Electronics</v>
      </c>
      <c r="S13" t="str">
        <f>_xlfn.XLOOKUP(C13,'Product Master'!$A$1:$A$23,'Product Master'!$B$1:$B$23)</f>
        <v>Smartwatch</v>
      </c>
      <c r="T13">
        <f t="shared" si="3"/>
        <v>0</v>
      </c>
    </row>
    <row r="14" spans="1:20" x14ac:dyDescent="0.3">
      <c r="A14" s="1" t="s">
        <v>76</v>
      </c>
      <c r="B14" s="1" t="s">
        <v>77</v>
      </c>
      <c r="C14" s="1" t="s">
        <v>38</v>
      </c>
      <c r="D14" s="1" t="s">
        <v>30</v>
      </c>
      <c r="E14" s="1">
        <v>96</v>
      </c>
      <c r="F14" s="1">
        <v>1</v>
      </c>
      <c r="G14" s="1">
        <v>96</v>
      </c>
      <c r="H14" s="1" t="s">
        <v>13</v>
      </c>
      <c r="I14" s="1" t="s">
        <v>14</v>
      </c>
      <c r="J14" s="1" t="s">
        <v>27</v>
      </c>
      <c r="K14" s="2">
        <v>44982</v>
      </c>
      <c r="L14" s="2"/>
      <c r="M14" s="2">
        <v>44985</v>
      </c>
      <c r="N14" t="str">
        <f t="shared" si="0"/>
        <v>Cancelled</v>
      </c>
      <c r="O14" t="str">
        <f t="shared" si="1"/>
        <v>NA</v>
      </c>
      <c r="P14" t="str">
        <f t="shared" si="2"/>
        <v>Cancelled</v>
      </c>
      <c r="Q14" t="str">
        <f>_xlfn.XLOOKUP(Orders!B14,'Customer Master'!$A$1:$A$50,'Customer Master'!$B$1:$B$50)</f>
        <v>Charlotte Reed</v>
      </c>
      <c r="R14" t="str">
        <f>_xlfn.XLOOKUP(Orders!C14,'Product Master'!$A$1:$A$23,'Product Master'!$C$1:$C$23)</f>
        <v>Fashion</v>
      </c>
      <c r="S14" t="str">
        <f>_xlfn.XLOOKUP(C14,'Product Master'!$A$1:$A$23,'Product Master'!$B$1:$B$23)</f>
        <v>Shoes</v>
      </c>
      <c r="T14">
        <f t="shared" si="3"/>
        <v>0</v>
      </c>
    </row>
    <row r="15" spans="1:20" x14ac:dyDescent="0.3">
      <c r="A15" s="1" t="s">
        <v>78</v>
      </c>
      <c r="B15" s="1" t="s">
        <v>79</v>
      </c>
      <c r="C15" s="1" t="s">
        <v>39</v>
      </c>
      <c r="D15" s="1" t="s">
        <v>33</v>
      </c>
      <c r="E15" s="1">
        <v>74</v>
      </c>
      <c r="F15" s="1">
        <v>5</v>
      </c>
      <c r="G15" s="1">
        <v>370</v>
      </c>
      <c r="H15" s="1" t="s">
        <v>13</v>
      </c>
      <c r="I15" s="1" t="s">
        <v>14</v>
      </c>
      <c r="J15" s="1" t="s">
        <v>27</v>
      </c>
      <c r="K15" s="2">
        <v>44981</v>
      </c>
      <c r="L15" s="2"/>
      <c r="M15" s="2">
        <v>44982</v>
      </c>
      <c r="N15" t="str">
        <f t="shared" si="0"/>
        <v>Cancelled</v>
      </c>
      <c r="O15" t="str">
        <f t="shared" si="1"/>
        <v>NA</v>
      </c>
      <c r="P15" t="str">
        <f t="shared" si="2"/>
        <v>Cancelled</v>
      </c>
      <c r="Q15" t="str">
        <f>_xlfn.XLOOKUP(Orders!B15,'Customer Master'!$A$1:$A$50,'Customer Master'!$B$1:$B$50)</f>
        <v>Hazel Rivera</v>
      </c>
      <c r="R15" t="str">
        <f>_xlfn.XLOOKUP(Orders!C15,'Product Master'!$A$1:$A$23,'Product Master'!$C$1:$C$23)</f>
        <v>Electronics</v>
      </c>
      <c r="S15" t="str">
        <f>_xlfn.XLOOKUP(C15,'Product Master'!$A$1:$A$23,'Product Master'!$B$1:$B$23)</f>
        <v>Gaming Mouse</v>
      </c>
      <c r="T15">
        <f t="shared" si="3"/>
        <v>0</v>
      </c>
    </row>
    <row r="16" spans="1:20" x14ac:dyDescent="0.3">
      <c r="A16" s="1" t="s">
        <v>80</v>
      </c>
      <c r="B16" s="1" t="s">
        <v>79</v>
      </c>
      <c r="C16" s="1" t="s">
        <v>40</v>
      </c>
      <c r="D16" s="1" t="s">
        <v>21</v>
      </c>
      <c r="E16" s="1">
        <v>27</v>
      </c>
      <c r="F16" s="1">
        <v>1</v>
      </c>
      <c r="G16" s="1">
        <v>27</v>
      </c>
      <c r="H16" s="1" t="s">
        <v>18</v>
      </c>
      <c r="I16" s="1" t="s">
        <v>14</v>
      </c>
      <c r="J16" s="1" t="s">
        <v>27</v>
      </c>
      <c r="K16" s="2">
        <v>45164</v>
      </c>
      <c r="L16" s="2"/>
      <c r="M16" s="2">
        <v>45171</v>
      </c>
      <c r="N16" t="str">
        <f t="shared" si="0"/>
        <v>Cancelled</v>
      </c>
      <c r="O16" t="str">
        <f t="shared" si="1"/>
        <v>NA</v>
      </c>
      <c r="P16" t="str">
        <f t="shared" si="2"/>
        <v>Cancelled</v>
      </c>
      <c r="Q16" t="str">
        <f>_xlfn.XLOOKUP(Orders!B16,'Customer Master'!$A$1:$A$50,'Customer Master'!$B$1:$B$50)</f>
        <v>Hazel Rivera</v>
      </c>
      <c r="R16" t="str">
        <f>_xlfn.XLOOKUP(Orders!C16,'Product Master'!$A$1:$A$23,'Product Master'!$C$1:$C$23)</f>
        <v>Fashion</v>
      </c>
      <c r="S16" t="str">
        <f>_xlfn.XLOOKUP(C16,'Product Master'!$A$1:$A$23,'Product Master'!$B$1:$B$23)</f>
        <v>T-Shirt</v>
      </c>
      <c r="T16">
        <f t="shared" si="3"/>
        <v>0</v>
      </c>
    </row>
    <row r="17" spans="1:20" x14ac:dyDescent="0.3">
      <c r="A17" s="1" t="s">
        <v>81</v>
      </c>
      <c r="B17" s="1" t="s">
        <v>82</v>
      </c>
      <c r="C17" s="1" t="s">
        <v>40</v>
      </c>
      <c r="D17" s="1" t="s">
        <v>21</v>
      </c>
      <c r="E17" s="1">
        <v>27</v>
      </c>
      <c r="F17" s="1">
        <v>3</v>
      </c>
      <c r="G17" s="1">
        <v>81</v>
      </c>
      <c r="H17" s="1" t="s">
        <v>31</v>
      </c>
      <c r="I17" s="1" t="s">
        <v>22</v>
      </c>
      <c r="J17" s="1" t="s">
        <v>27</v>
      </c>
      <c r="K17" s="2">
        <v>44970</v>
      </c>
      <c r="L17" s="2"/>
      <c r="M17" s="2"/>
      <c r="N17" t="str">
        <f t="shared" si="0"/>
        <v>Delivered</v>
      </c>
      <c r="O17" t="str">
        <f t="shared" si="1"/>
        <v>NA</v>
      </c>
      <c r="P17" t="str">
        <f t="shared" si="2"/>
        <v>Cancelled</v>
      </c>
      <c r="Q17" t="str">
        <f>_xlfn.XLOOKUP(Orders!B17,'Customer Master'!$A$1:$A$50,'Customer Master'!$B$1:$B$50)</f>
        <v>Scarlett Murphy</v>
      </c>
      <c r="R17" t="str">
        <f>_xlfn.XLOOKUP(Orders!C17,'Product Master'!$A$1:$A$23,'Product Master'!$C$1:$C$23)</f>
        <v>Fashion</v>
      </c>
      <c r="S17" t="str">
        <f>_xlfn.XLOOKUP(C17,'Product Master'!$A$1:$A$23,'Product Master'!$B$1:$B$23)</f>
        <v>T-Shirt</v>
      </c>
      <c r="T17">
        <f t="shared" si="3"/>
        <v>0</v>
      </c>
    </row>
    <row r="18" spans="1:20" x14ac:dyDescent="0.3">
      <c r="A18" s="1" t="s">
        <v>83</v>
      </c>
      <c r="B18" s="1" t="s">
        <v>75</v>
      </c>
      <c r="C18" s="1" t="s">
        <v>41</v>
      </c>
      <c r="D18" s="1" t="s">
        <v>17</v>
      </c>
      <c r="E18" s="1">
        <v>21</v>
      </c>
      <c r="F18" s="1">
        <v>3</v>
      </c>
      <c r="G18" s="1">
        <v>63</v>
      </c>
      <c r="H18" s="1" t="s">
        <v>18</v>
      </c>
      <c r="I18" s="1" t="s">
        <v>19</v>
      </c>
      <c r="J18" s="1" t="s">
        <v>15</v>
      </c>
      <c r="K18" s="2">
        <v>45105</v>
      </c>
      <c r="L18" s="2">
        <v>45108</v>
      </c>
      <c r="M18" s="2"/>
      <c r="N18" t="str">
        <f t="shared" si="0"/>
        <v>Delivered</v>
      </c>
      <c r="O18">
        <f t="shared" si="1"/>
        <v>3</v>
      </c>
      <c r="P18" t="str">
        <f t="shared" si="2"/>
        <v>Slow</v>
      </c>
      <c r="Q18" t="str">
        <f>_xlfn.XLOOKUP(Orders!B18,'Customer Master'!$A$1:$A$50,'Customer Master'!$B$1:$B$50)</f>
        <v>Emily Johnson</v>
      </c>
      <c r="R18" t="str">
        <f>_xlfn.XLOOKUP(Orders!C18,'Product Master'!$A$1:$A$23,'Product Master'!$C$1:$C$23)</f>
        <v>Books</v>
      </c>
      <c r="S18" t="str">
        <f>_xlfn.XLOOKUP(C18,'Product Master'!$A$1:$A$23,'Product Master'!$B$1:$B$23)</f>
        <v>Novel</v>
      </c>
      <c r="T18">
        <f t="shared" si="3"/>
        <v>63</v>
      </c>
    </row>
    <row r="19" spans="1:20" x14ac:dyDescent="0.3">
      <c r="A19" s="1" t="s">
        <v>84</v>
      </c>
      <c r="B19" s="1" t="s">
        <v>85</v>
      </c>
      <c r="C19" s="1" t="s">
        <v>42</v>
      </c>
      <c r="D19" s="1" t="s">
        <v>33</v>
      </c>
      <c r="E19" s="1">
        <v>70</v>
      </c>
      <c r="F19" s="1">
        <v>5</v>
      </c>
      <c r="G19" s="1">
        <v>350</v>
      </c>
      <c r="H19" s="1" t="s">
        <v>24</v>
      </c>
      <c r="I19" s="1" t="s">
        <v>22</v>
      </c>
      <c r="J19" s="1" t="s">
        <v>27</v>
      </c>
      <c r="K19" s="2">
        <v>45258</v>
      </c>
      <c r="L19" s="2"/>
      <c r="M19" s="2"/>
      <c r="N19" t="str">
        <f t="shared" si="0"/>
        <v>Delivered</v>
      </c>
      <c r="O19" t="str">
        <f t="shared" si="1"/>
        <v>NA</v>
      </c>
      <c r="P19" t="str">
        <f t="shared" si="2"/>
        <v>Cancelled</v>
      </c>
      <c r="Q19" t="str">
        <f>_xlfn.XLOOKUP(Orders!B19,'Customer Master'!$A$1:$A$50,'Customer Master'!$B$1:$B$50)</f>
        <v>Mason Hall</v>
      </c>
      <c r="R19" t="str">
        <f>_xlfn.XLOOKUP(Orders!C19,'Product Master'!$A$1:$A$23,'Product Master'!$C$1:$C$23)</f>
        <v>Books</v>
      </c>
      <c r="S19" t="str">
        <f>_xlfn.XLOOKUP(C19,'Product Master'!$A$1:$A$23,'Product Master'!$B$1:$B$23)</f>
        <v>Textbook</v>
      </c>
      <c r="T19">
        <f t="shared" si="3"/>
        <v>0</v>
      </c>
    </row>
    <row r="20" spans="1:20" x14ac:dyDescent="0.3">
      <c r="A20" s="1" t="s">
        <v>86</v>
      </c>
      <c r="B20" s="1" t="s">
        <v>87</v>
      </c>
      <c r="C20" s="1" t="s">
        <v>38</v>
      </c>
      <c r="D20" s="1" t="s">
        <v>21</v>
      </c>
      <c r="E20" s="1">
        <v>94</v>
      </c>
      <c r="F20" s="1">
        <v>4</v>
      </c>
      <c r="G20" s="1">
        <v>376</v>
      </c>
      <c r="H20" s="1" t="s">
        <v>18</v>
      </c>
      <c r="I20" s="1" t="s">
        <v>22</v>
      </c>
      <c r="J20" s="1" t="s">
        <v>23</v>
      </c>
      <c r="K20" s="2">
        <v>45163</v>
      </c>
      <c r="L20" s="2"/>
      <c r="M20" s="2"/>
      <c r="N20" t="str">
        <f t="shared" si="0"/>
        <v>Delivered</v>
      </c>
      <c r="O20" t="str">
        <f t="shared" si="1"/>
        <v>NA</v>
      </c>
      <c r="P20" t="str">
        <f t="shared" si="2"/>
        <v>Cancelled</v>
      </c>
      <c r="Q20" t="str">
        <f>_xlfn.XLOOKUP(Orders!B20,'Customer Master'!$A$1:$A$50,'Customer Master'!$B$1:$B$50)</f>
        <v>Jacob Price</v>
      </c>
      <c r="R20" t="str">
        <f>_xlfn.XLOOKUP(Orders!C20,'Product Master'!$A$1:$A$23,'Product Master'!$C$1:$C$23)</f>
        <v>Fashion</v>
      </c>
      <c r="S20" t="str">
        <f>_xlfn.XLOOKUP(C20,'Product Master'!$A$1:$A$23,'Product Master'!$B$1:$B$23)</f>
        <v>Shoes</v>
      </c>
      <c r="T20">
        <f t="shared" si="3"/>
        <v>0</v>
      </c>
    </row>
    <row r="21" spans="1:20" x14ac:dyDescent="0.3">
      <c r="A21" s="1" t="s">
        <v>88</v>
      </c>
      <c r="B21" s="1" t="s">
        <v>89</v>
      </c>
      <c r="C21" s="1" t="s">
        <v>43</v>
      </c>
      <c r="D21" s="1" t="s">
        <v>12</v>
      </c>
      <c r="E21" s="1">
        <v>813</v>
      </c>
      <c r="F21" s="1">
        <v>2</v>
      </c>
      <c r="G21" s="1">
        <v>1626</v>
      </c>
      <c r="H21" s="1" t="s">
        <v>18</v>
      </c>
      <c r="I21" s="1" t="s">
        <v>22</v>
      </c>
      <c r="J21" s="1" t="s">
        <v>37</v>
      </c>
      <c r="K21" s="2">
        <v>45028</v>
      </c>
      <c r="L21" s="2"/>
      <c r="M21" s="2"/>
      <c r="N21" t="str">
        <f t="shared" si="0"/>
        <v>Delivered</v>
      </c>
      <c r="O21" t="str">
        <f t="shared" si="1"/>
        <v>NA</v>
      </c>
      <c r="P21" t="str">
        <f t="shared" si="2"/>
        <v>Cancelled</v>
      </c>
      <c r="Q21" t="str">
        <f>_xlfn.XLOOKUP(Orders!B21,'Customer Master'!$A$1:$A$50,'Customer Master'!$B$1:$B$50)</f>
        <v>Emma King</v>
      </c>
      <c r="R21" t="str">
        <f>_xlfn.XLOOKUP(Orders!C21,'Product Master'!$A$1:$A$23,'Product Master'!$C$1:$C$23)</f>
        <v>Electronics</v>
      </c>
      <c r="S21" t="str">
        <f>_xlfn.XLOOKUP(C21,'Product Master'!$A$1:$A$23,'Product Master'!$B$1:$B$23)</f>
        <v>Smartphone</v>
      </c>
      <c r="T21">
        <f t="shared" si="3"/>
        <v>0</v>
      </c>
    </row>
    <row r="22" spans="1:20" x14ac:dyDescent="0.3">
      <c r="A22" s="1" t="s">
        <v>90</v>
      </c>
      <c r="B22" s="1" t="s">
        <v>70</v>
      </c>
      <c r="C22" s="1" t="s">
        <v>41</v>
      </c>
      <c r="D22" s="1" t="s">
        <v>30</v>
      </c>
      <c r="E22" s="1">
        <v>21</v>
      </c>
      <c r="F22" s="1">
        <v>4</v>
      </c>
      <c r="G22" s="1">
        <v>84</v>
      </c>
      <c r="H22" s="1" t="s">
        <v>24</v>
      </c>
      <c r="I22" s="1" t="s">
        <v>22</v>
      </c>
      <c r="J22" s="1" t="s">
        <v>27</v>
      </c>
      <c r="K22" s="2">
        <v>45201</v>
      </c>
      <c r="L22" s="2"/>
      <c r="M22" s="2"/>
      <c r="N22" t="str">
        <f t="shared" si="0"/>
        <v>Delivered</v>
      </c>
      <c r="O22" t="str">
        <f t="shared" si="1"/>
        <v>NA</v>
      </c>
      <c r="P22" t="str">
        <f t="shared" si="2"/>
        <v>Cancelled</v>
      </c>
      <c r="Q22" t="str">
        <f>_xlfn.XLOOKUP(Orders!B22,'Customer Master'!$A$1:$A$50,'Customer Master'!$B$1:$B$50)</f>
        <v>Olivia Martinez</v>
      </c>
      <c r="R22" t="str">
        <f>_xlfn.XLOOKUP(Orders!C22,'Product Master'!$A$1:$A$23,'Product Master'!$C$1:$C$23)</f>
        <v>Books</v>
      </c>
      <c r="S22" t="str">
        <f>_xlfn.XLOOKUP(C22,'Product Master'!$A$1:$A$23,'Product Master'!$B$1:$B$23)</f>
        <v>Novel</v>
      </c>
      <c r="T22">
        <f t="shared" si="3"/>
        <v>0</v>
      </c>
    </row>
    <row r="23" spans="1:20" x14ac:dyDescent="0.3">
      <c r="A23" s="1" t="s">
        <v>91</v>
      </c>
      <c r="B23" s="1" t="s">
        <v>77</v>
      </c>
      <c r="C23" s="1" t="s">
        <v>11</v>
      </c>
      <c r="D23" s="1" t="s">
        <v>33</v>
      </c>
      <c r="E23" s="1">
        <v>46</v>
      </c>
      <c r="F23" s="1">
        <v>5</v>
      </c>
      <c r="G23" s="1">
        <v>230</v>
      </c>
      <c r="H23" s="1" t="s">
        <v>24</v>
      </c>
      <c r="I23" s="1" t="s">
        <v>22</v>
      </c>
      <c r="J23" s="1" t="s">
        <v>23</v>
      </c>
      <c r="K23" s="2">
        <v>45239</v>
      </c>
      <c r="L23" s="2"/>
      <c r="M23" s="2"/>
      <c r="N23" t="str">
        <f t="shared" si="0"/>
        <v>Delivered</v>
      </c>
      <c r="O23" t="str">
        <f t="shared" si="1"/>
        <v>NA</v>
      </c>
      <c r="P23" t="str">
        <f t="shared" si="2"/>
        <v>Cancelled</v>
      </c>
      <c r="Q23" t="str">
        <f>_xlfn.XLOOKUP(Orders!B23,'Customer Master'!$A$1:$A$50,'Customer Master'!$B$1:$B$50)</f>
        <v>Charlotte Reed</v>
      </c>
      <c r="R23" t="str">
        <f>_xlfn.XLOOKUP(Orders!C23,'Product Master'!$A$1:$A$23,'Product Master'!$C$1:$C$23)</f>
        <v>Home</v>
      </c>
      <c r="S23" t="str">
        <f>_xlfn.XLOOKUP(C23,'Product Master'!$A$1:$A$23,'Product Master'!$B$1:$B$23)</f>
        <v>Lamp</v>
      </c>
      <c r="T23">
        <f t="shared" si="3"/>
        <v>0</v>
      </c>
    </row>
    <row r="24" spans="1:20" x14ac:dyDescent="0.3">
      <c r="A24" s="1" t="s">
        <v>92</v>
      </c>
      <c r="B24" s="1" t="s">
        <v>93</v>
      </c>
      <c r="C24" s="1" t="s">
        <v>26</v>
      </c>
      <c r="D24" s="1" t="s">
        <v>33</v>
      </c>
      <c r="E24" s="1">
        <v>58</v>
      </c>
      <c r="F24" s="1">
        <v>3</v>
      </c>
      <c r="G24" s="1">
        <v>174</v>
      </c>
      <c r="H24" s="1" t="s">
        <v>28</v>
      </c>
      <c r="I24" s="1" t="s">
        <v>14</v>
      </c>
      <c r="J24" s="1" t="s">
        <v>27</v>
      </c>
      <c r="K24" s="2">
        <v>44970</v>
      </c>
      <c r="L24" s="2"/>
      <c r="M24" s="2">
        <v>44971</v>
      </c>
      <c r="N24" t="str">
        <f t="shared" si="0"/>
        <v>Cancelled</v>
      </c>
      <c r="O24" t="str">
        <f t="shared" si="1"/>
        <v>NA</v>
      </c>
      <c r="P24" t="str">
        <f t="shared" si="2"/>
        <v>Cancelled</v>
      </c>
      <c r="Q24" t="str">
        <f>_xlfn.XLOOKUP(Orders!B24,'Customer Master'!$A$1:$A$50,'Customer Master'!$B$1:$B$50)</f>
        <v>Elijah Lewis</v>
      </c>
      <c r="R24" t="str">
        <f>_xlfn.XLOOKUP(Orders!C24,'Product Master'!$A$1:$A$23,'Product Master'!$C$1:$C$23)</f>
        <v>Fashion</v>
      </c>
      <c r="S24" t="str">
        <f>_xlfn.XLOOKUP(C24,'Product Master'!$A$1:$A$23,'Product Master'!$B$1:$B$23)</f>
        <v>Jeans</v>
      </c>
      <c r="T24">
        <f t="shared" si="3"/>
        <v>0</v>
      </c>
    </row>
    <row r="25" spans="1:20" x14ac:dyDescent="0.3">
      <c r="A25" s="1" t="s">
        <v>94</v>
      </c>
      <c r="B25" s="1" t="s">
        <v>95</v>
      </c>
      <c r="C25" s="1" t="s">
        <v>38</v>
      </c>
      <c r="D25" s="1" t="s">
        <v>33</v>
      </c>
      <c r="E25" s="1">
        <v>96</v>
      </c>
      <c r="F25" s="1">
        <v>5</v>
      </c>
      <c r="G25" s="1">
        <v>480</v>
      </c>
      <c r="H25" s="1" t="s">
        <v>28</v>
      </c>
      <c r="I25" s="1" t="s">
        <v>19</v>
      </c>
      <c r="J25" s="1" t="s">
        <v>27</v>
      </c>
      <c r="K25" s="2">
        <v>45232</v>
      </c>
      <c r="L25" s="2">
        <v>45235</v>
      </c>
      <c r="M25" s="2"/>
      <c r="N25" t="str">
        <f t="shared" si="0"/>
        <v>Delivered</v>
      </c>
      <c r="O25">
        <f t="shared" si="1"/>
        <v>3</v>
      </c>
      <c r="P25" t="str">
        <f t="shared" si="2"/>
        <v>Slow</v>
      </c>
      <c r="Q25" t="str">
        <f>_xlfn.XLOOKUP(Orders!B25,'Customer Master'!$A$1:$A$50,'Customer Master'!$B$1:$B$50)</f>
        <v>Lily Bennett</v>
      </c>
      <c r="R25" t="str">
        <f>_xlfn.XLOOKUP(Orders!C25,'Product Master'!$A$1:$A$23,'Product Master'!$C$1:$C$23)</f>
        <v>Fashion</v>
      </c>
      <c r="S25" t="str">
        <f>_xlfn.XLOOKUP(C25,'Product Master'!$A$1:$A$23,'Product Master'!$B$1:$B$23)</f>
        <v>Shoes</v>
      </c>
      <c r="T25">
        <f t="shared" si="3"/>
        <v>480</v>
      </c>
    </row>
    <row r="26" spans="1:20" x14ac:dyDescent="0.3">
      <c r="A26" s="1" t="s">
        <v>96</v>
      </c>
      <c r="B26" s="1" t="s">
        <v>97</v>
      </c>
      <c r="C26" s="1" t="s">
        <v>44</v>
      </c>
      <c r="D26" s="1" t="s">
        <v>21</v>
      </c>
      <c r="E26" s="1">
        <v>43</v>
      </c>
      <c r="F26" s="1">
        <v>1</v>
      </c>
      <c r="G26" s="1">
        <v>43</v>
      </c>
      <c r="H26" s="1" t="s">
        <v>31</v>
      </c>
      <c r="I26" s="1" t="s">
        <v>19</v>
      </c>
      <c r="J26" s="1" t="s">
        <v>27</v>
      </c>
      <c r="K26" s="2">
        <v>45074</v>
      </c>
      <c r="L26" s="2">
        <v>45076</v>
      </c>
      <c r="M26" s="2"/>
      <c r="N26" t="str">
        <f t="shared" si="0"/>
        <v>Delivered</v>
      </c>
      <c r="O26">
        <f t="shared" si="1"/>
        <v>2</v>
      </c>
      <c r="P26" t="str">
        <f t="shared" si="2"/>
        <v>Fast</v>
      </c>
      <c r="Q26" t="str">
        <f>_xlfn.XLOOKUP(Orders!B26,'Customer Master'!$A$1:$A$50,'Customer Master'!$B$1:$B$50)</f>
        <v>Benjamin Clark</v>
      </c>
      <c r="R26" t="str">
        <f>_xlfn.XLOOKUP(Orders!C26,'Product Master'!$A$1:$A$23,'Product Master'!$C$1:$C$23)</f>
        <v>Toys</v>
      </c>
      <c r="S26" t="str">
        <f>_xlfn.XLOOKUP(C26,'Product Master'!$A$1:$A$23,'Product Master'!$B$1:$B$23)</f>
        <v>Action Figure</v>
      </c>
      <c r="T26">
        <f t="shared" si="3"/>
        <v>43</v>
      </c>
    </row>
    <row r="27" spans="1:20" x14ac:dyDescent="0.3">
      <c r="A27" s="1" t="s">
        <v>98</v>
      </c>
      <c r="B27" s="1" t="s">
        <v>62</v>
      </c>
      <c r="C27" s="1" t="s">
        <v>45</v>
      </c>
      <c r="D27" s="1" t="s">
        <v>21</v>
      </c>
      <c r="E27" s="1">
        <v>64</v>
      </c>
      <c r="F27" s="1">
        <v>4</v>
      </c>
      <c r="G27" s="1">
        <v>256</v>
      </c>
      <c r="H27" s="1" t="s">
        <v>31</v>
      </c>
      <c r="I27" s="1" t="s">
        <v>19</v>
      </c>
      <c r="J27" s="1" t="s">
        <v>23</v>
      </c>
      <c r="K27" s="2">
        <v>45214</v>
      </c>
      <c r="L27" s="2">
        <v>45220</v>
      </c>
      <c r="M27" s="2"/>
      <c r="N27" t="str">
        <f t="shared" si="0"/>
        <v>Delivered</v>
      </c>
      <c r="O27">
        <f t="shared" si="1"/>
        <v>6</v>
      </c>
      <c r="P27" t="str">
        <f t="shared" si="2"/>
        <v>Slow</v>
      </c>
      <c r="Q27" t="str">
        <f>_xlfn.XLOOKUP(Orders!B27,'Customer Master'!$A$1:$A$50,'Customer Master'!$B$1:$B$50)</f>
        <v>Hazel Brooks</v>
      </c>
      <c r="R27" t="str">
        <f>_xlfn.XLOOKUP(Orders!C27,'Product Master'!$A$1:$A$23,'Product Master'!$C$1:$C$23)</f>
        <v>Fashion</v>
      </c>
      <c r="S27" t="str">
        <f>_xlfn.XLOOKUP(C27,'Product Master'!$A$1:$A$23,'Product Master'!$B$1:$B$23)</f>
        <v>Backpack</v>
      </c>
      <c r="T27">
        <f t="shared" si="3"/>
        <v>256</v>
      </c>
    </row>
    <row r="28" spans="1:20" x14ac:dyDescent="0.3">
      <c r="A28" s="1" t="s">
        <v>99</v>
      </c>
      <c r="B28" s="1" t="s">
        <v>100</v>
      </c>
      <c r="C28" s="1" t="s">
        <v>42</v>
      </c>
      <c r="D28" s="1" t="s">
        <v>21</v>
      </c>
      <c r="E28" s="1">
        <v>70</v>
      </c>
      <c r="F28" s="1">
        <v>2</v>
      </c>
      <c r="G28" s="1">
        <v>140</v>
      </c>
      <c r="H28" s="1" t="s">
        <v>28</v>
      </c>
      <c r="I28" s="1" t="s">
        <v>22</v>
      </c>
      <c r="J28" s="1" t="s">
        <v>27</v>
      </c>
      <c r="K28" s="2">
        <v>44942</v>
      </c>
      <c r="L28" s="2"/>
      <c r="M28" s="2"/>
      <c r="N28" t="str">
        <f t="shared" si="0"/>
        <v>Delivered</v>
      </c>
      <c r="O28" t="str">
        <f t="shared" si="1"/>
        <v>NA</v>
      </c>
      <c r="P28" t="str">
        <f t="shared" si="2"/>
        <v>Cancelled</v>
      </c>
      <c r="Q28" t="str">
        <f>_xlfn.XLOOKUP(Orders!B28,'Customer Master'!$A$1:$A$50,'Customer Master'!$B$1:$B$50)</f>
        <v>Grace Scott</v>
      </c>
      <c r="R28" t="str">
        <f>_xlfn.XLOOKUP(Orders!C28,'Product Master'!$A$1:$A$23,'Product Master'!$C$1:$C$23)</f>
        <v>Books</v>
      </c>
      <c r="S28" t="str">
        <f>_xlfn.XLOOKUP(C28,'Product Master'!$A$1:$A$23,'Product Master'!$B$1:$B$23)</f>
        <v>Textbook</v>
      </c>
      <c r="T28">
        <f t="shared" si="3"/>
        <v>0</v>
      </c>
    </row>
    <row r="29" spans="1:20" x14ac:dyDescent="0.3">
      <c r="A29" s="1" t="s">
        <v>101</v>
      </c>
      <c r="B29" s="1" t="s">
        <v>100</v>
      </c>
      <c r="C29" s="1" t="s">
        <v>16</v>
      </c>
      <c r="D29" s="1" t="s">
        <v>30</v>
      </c>
      <c r="E29" s="1">
        <v>97</v>
      </c>
      <c r="F29" s="1">
        <v>3</v>
      </c>
      <c r="G29" s="1">
        <v>291</v>
      </c>
      <c r="H29" s="1" t="s">
        <v>18</v>
      </c>
      <c r="I29" s="1" t="s">
        <v>22</v>
      </c>
      <c r="J29" s="1" t="s">
        <v>27</v>
      </c>
      <c r="K29" s="2">
        <v>45208</v>
      </c>
      <c r="L29" s="2"/>
      <c r="M29" s="2"/>
      <c r="N29" t="str">
        <f t="shared" si="0"/>
        <v>Delivered</v>
      </c>
      <c r="O29" t="str">
        <f t="shared" si="1"/>
        <v>NA</v>
      </c>
      <c r="P29" t="str">
        <f t="shared" si="2"/>
        <v>Cancelled</v>
      </c>
      <c r="Q29" t="str">
        <f>_xlfn.XLOOKUP(Orders!B29,'Customer Master'!$A$1:$A$50,'Customer Master'!$B$1:$B$50)</f>
        <v>Grace Scott</v>
      </c>
      <c r="R29" t="str">
        <f>_xlfn.XLOOKUP(Orders!C29,'Product Master'!$A$1:$A$23,'Product Master'!$C$1:$C$23)</f>
        <v>Toys</v>
      </c>
      <c r="S29" t="str">
        <f>_xlfn.XLOOKUP(C29,'Product Master'!$A$1:$A$23,'Product Master'!$B$1:$B$23)</f>
        <v>Doll House</v>
      </c>
      <c r="T29">
        <f t="shared" si="3"/>
        <v>0</v>
      </c>
    </row>
    <row r="30" spans="1:20" x14ac:dyDescent="0.3">
      <c r="A30" s="1" t="s">
        <v>102</v>
      </c>
      <c r="B30" s="1" t="s">
        <v>103</v>
      </c>
      <c r="C30" s="1" t="s">
        <v>32</v>
      </c>
      <c r="D30" s="1" t="s">
        <v>17</v>
      </c>
      <c r="E30" s="1">
        <v>37</v>
      </c>
      <c r="F30" s="1">
        <v>3</v>
      </c>
      <c r="G30" s="1">
        <v>111</v>
      </c>
      <c r="H30" s="1" t="s">
        <v>13</v>
      </c>
      <c r="I30" s="1" t="s">
        <v>14</v>
      </c>
      <c r="J30" s="1" t="s">
        <v>15</v>
      </c>
      <c r="K30" s="2">
        <v>45206</v>
      </c>
      <c r="L30" s="2"/>
      <c r="M30" s="2">
        <v>45209</v>
      </c>
      <c r="N30" t="str">
        <f t="shared" si="0"/>
        <v>Cancelled</v>
      </c>
      <c r="O30" t="str">
        <f t="shared" si="1"/>
        <v>NA</v>
      </c>
      <c r="P30" t="str">
        <f t="shared" si="2"/>
        <v>Cancelled</v>
      </c>
      <c r="Q30" t="str">
        <f>_xlfn.XLOOKUP(Orders!B30,'Customer Master'!$A$1:$A$50,'Customer Master'!$B$1:$B$50)</f>
        <v>Liam Walker</v>
      </c>
      <c r="R30" t="str">
        <f>_xlfn.XLOOKUP(Orders!C30,'Product Master'!$A$1:$A$23,'Product Master'!$C$1:$C$23)</f>
        <v>Home</v>
      </c>
      <c r="S30" t="str">
        <f>_xlfn.XLOOKUP(C30,'Product Master'!$A$1:$A$23,'Product Master'!$B$1:$B$23)</f>
        <v>Wall Clock</v>
      </c>
      <c r="T30">
        <f t="shared" si="3"/>
        <v>0</v>
      </c>
    </row>
    <row r="31" spans="1:20" x14ac:dyDescent="0.3">
      <c r="A31" s="1" t="s">
        <v>104</v>
      </c>
      <c r="B31" s="1" t="s">
        <v>105</v>
      </c>
      <c r="C31" s="1" t="s">
        <v>42</v>
      </c>
      <c r="D31" s="1" t="s">
        <v>12</v>
      </c>
      <c r="E31" s="1">
        <v>69</v>
      </c>
      <c r="F31" s="1">
        <v>5</v>
      </c>
      <c r="G31" s="1">
        <v>345</v>
      </c>
      <c r="H31" s="1" t="s">
        <v>28</v>
      </c>
      <c r="I31" s="1" t="s">
        <v>22</v>
      </c>
      <c r="J31" s="1" t="s">
        <v>27</v>
      </c>
      <c r="K31" s="2">
        <v>44971</v>
      </c>
      <c r="L31" s="2"/>
      <c r="M31" s="2"/>
      <c r="N31" t="str">
        <f t="shared" si="0"/>
        <v>Delivered</v>
      </c>
      <c r="O31" t="str">
        <f t="shared" si="1"/>
        <v>NA</v>
      </c>
      <c r="P31" t="str">
        <f t="shared" si="2"/>
        <v>Cancelled</v>
      </c>
      <c r="Q31" t="str">
        <f>_xlfn.XLOOKUP(Orders!B31,'Customer Master'!$A$1:$A$50,'Customer Master'!$B$1:$B$50)</f>
        <v>Harper Young</v>
      </c>
      <c r="R31" t="str">
        <f>_xlfn.XLOOKUP(Orders!C31,'Product Master'!$A$1:$A$23,'Product Master'!$C$1:$C$23)</f>
        <v>Books</v>
      </c>
      <c r="S31" t="str">
        <f>_xlfn.XLOOKUP(C31,'Product Master'!$A$1:$A$23,'Product Master'!$B$1:$B$23)</f>
        <v>Textbook</v>
      </c>
      <c r="T31">
        <f t="shared" si="3"/>
        <v>0</v>
      </c>
    </row>
    <row r="32" spans="1:20" x14ac:dyDescent="0.3">
      <c r="A32" s="1" t="s">
        <v>106</v>
      </c>
      <c r="B32" s="1" t="s">
        <v>107</v>
      </c>
      <c r="C32" s="1" t="s">
        <v>44</v>
      </c>
      <c r="D32" s="1" t="s">
        <v>12</v>
      </c>
      <c r="E32" s="1">
        <v>42</v>
      </c>
      <c r="F32" s="1">
        <v>5</v>
      </c>
      <c r="G32" s="1">
        <v>210</v>
      </c>
      <c r="H32" s="1" t="s">
        <v>28</v>
      </c>
      <c r="I32" s="1" t="s">
        <v>22</v>
      </c>
      <c r="J32" s="1" t="s">
        <v>25</v>
      </c>
      <c r="K32" s="2">
        <v>45011</v>
      </c>
      <c r="L32" s="2"/>
      <c r="M32" s="2"/>
      <c r="N32" t="str">
        <f t="shared" si="0"/>
        <v>Delivered</v>
      </c>
      <c r="O32" t="str">
        <f t="shared" si="1"/>
        <v>NA</v>
      </c>
      <c r="P32" t="str">
        <f t="shared" si="2"/>
        <v>Cancelled</v>
      </c>
      <c r="Q32" t="str">
        <f>_xlfn.XLOOKUP(Orders!B32,'Customer Master'!$A$1:$A$50,'Customer Master'!$B$1:$B$50)</f>
        <v>Harper Young</v>
      </c>
      <c r="R32" t="str">
        <f>_xlfn.XLOOKUP(Orders!C32,'Product Master'!$A$1:$A$23,'Product Master'!$C$1:$C$23)</f>
        <v>Toys</v>
      </c>
      <c r="S32" t="str">
        <f>_xlfn.XLOOKUP(C32,'Product Master'!$A$1:$A$23,'Product Master'!$B$1:$B$23)</f>
        <v>Action Figure</v>
      </c>
      <c r="T32">
        <f t="shared" si="3"/>
        <v>0</v>
      </c>
    </row>
    <row r="33" spans="1:20" x14ac:dyDescent="0.3">
      <c r="A33" s="1" t="s">
        <v>108</v>
      </c>
      <c r="B33" s="1" t="s">
        <v>109</v>
      </c>
      <c r="C33" s="1" t="s">
        <v>46</v>
      </c>
      <c r="D33" s="1" t="s">
        <v>17</v>
      </c>
      <c r="E33" s="1">
        <v>11</v>
      </c>
      <c r="F33" s="1">
        <v>5</v>
      </c>
      <c r="G33" s="1">
        <v>55</v>
      </c>
      <c r="H33" s="1" t="s">
        <v>31</v>
      </c>
      <c r="I33" s="1" t="s">
        <v>14</v>
      </c>
      <c r="J33" s="1" t="s">
        <v>37</v>
      </c>
      <c r="K33" s="2">
        <v>45092</v>
      </c>
      <c r="L33" s="2"/>
      <c r="M33" s="2">
        <v>45099</v>
      </c>
      <c r="N33" t="str">
        <f t="shared" si="0"/>
        <v>Cancelled</v>
      </c>
      <c r="O33" t="str">
        <f t="shared" si="1"/>
        <v>NA</v>
      </c>
      <c r="P33" t="str">
        <f t="shared" si="2"/>
        <v>Cancelled</v>
      </c>
      <c r="Q33" t="str">
        <f>_xlfn.XLOOKUP(Orders!B33,'Customer Master'!$A$1:$A$50,'Customer Master'!$B$1:$B$50)</f>
        <v>Emily Johnson</v>
      </c>
      <c r="R33" t="str">
        <f>_xlfn.XLOOKUP(Orders!C33,'Product Master'!$A$1:$A$23,'Product Master'!$C$1:$C$23)</f>
        <v>Books</v>
      </c>
      <c r="S33" t="str">
        <f>_xlfn.XLOOKUP(C33,'Product Master'!$A$1:$A$23,'Product Master'!$B$1:$B$23)</f>
        <v>Magazine</v>
      </c>
      <c r="T33">
        <f t="shared" si="3"/>
        <v>0</v>
      </c>
    </row>
    <row r="34" spans="1:20" x14ac:dyDescent="0.3">
      <c r="A34" s="1" t="s">
        <v>110</v>
      </c>
      <c r="B34" s="1" t="s">
        <v>93</v>
      </c>
      <c r="C34" s="1" t="s">
        <v>40</v>
      </c>
      <c r="D34" s="1" t="s">
        <v>21</v>
      </c>
      <c r="E34" s="1">
        <v>27</v>
      </c>
      <c r="F34" s="1">
        <v>2</v>
      </c>
      <c r="G34" s="1">
        <v>54</v>
      </c>
      <c r="H34" s="1" t="s">
        <v>13</v>
      </c>
      <c r="I34" s="1" t="s">
        <v>19</v>
      </c>
      <c r="J34" s="1" t="s">
        <v>23</v>
      </c>
      <c r="K34" s="2">
        <v>45068</v>
      </c>
      <c r="L34" s="2">
        <v>45069</v>
      </c>
      <c r="M34" s="2"/>
      <c r="N34" t="str">
        <f t="shared" si="0"/>
        <v>Delivered</v>
      </c>
      <c r="O34">
        <f t="shared" si="1"/>
        <v>1</v>
      </c>
      <c r="P34" t="str">
        <f t="shared" si="2"/>
        <v>Fast</v>
      </c>
      <c r="Q34" t="str">
        <f>_xlfn.XLOOKUP(Orders!B34,'Customer Master'!$A$1:$A$50,'Customer Master'!$B$1:$B$50)</f>
        <v>Elijah Lewis</v>
      </c>
      <c r="R34" t="str">
        <f>_xlfn.XLOOKUP(Orders!C34,'Product Master'!$A$1:$A$23,'Product Master'!$C$1:$C$23)</f>
        <v>Fashion</v>
      </c>
      <c r="S34" t="str">
        <f>_xlfn.XLOOKUP(C34,'Product Master'!$A$1:$A$23,'Product Master'!$B$1:$B$23)</f>
        <v>T-Shirt</v>
      </c>
      <c r="T34">
        <f t="shared" si="3"/>
        <v>54</v>
      </c>
    </row>
    <row r="35" spans="1:20" x14ac:dyDescent="0.3">
      <c r="A35" s="1" t="s">
        <v>111</v>
      </c>
      <c r="B35" s="1" t="s">
        <v>89</v>
      </c>
      <c r="C35" s="1" t="s">
        <v>41</v>
      </c>
      <c r="D35" s="1" t="s">
        <v>21</v>
      </c>
      <c r="E35" s="1">
        <v>21</v>
      </c>
      <c r="F35" s="1">
        <v>1</v>
      </c>
      <c r="G35" s="1">
        <v>21</v>
      </c>
      <c r="H35" s="1" t="s">
        <v>28</v>
      </c>
      <c r="I35" s="1" t="s">
        <v>22</v>
      </c>
      <c r="J35" s="1" t="s">
        <v>15</v>
      </c>
      <c r="K35" s="2">
        <v>45250</v>
      </c>
      <c r="L35" s="2"/>
      <c r="M35" s="2"/>
      <c r="N35" t="str">
        <f t="shared" si="0"/>
        <v>Delivered</v>
      </c>
      <c r="O35" t="str">
        <f t="shared" si="1"/>
        <v>NA</v>
      </c>
      <c r="P35" t="str">
        <f t="shared" si="2"/>
        <v>Cancelled</v>
      </c>
      <c r="Q35" t="str">
        <f>_xlfn.XLOOKUP(Orders!B35,'Customer Master'!$A$1:$A$50,'Customer Master'!$B$1:$B$50)</f>
        <v>Emma King</v>
      </c>
      <c r="R35" t="str">
        <f>_xlfn.XLOOKUP(Orders!C35,'Product Master'!$A$1:$A$23,'Product Master'!$C$1:$C$23)</f>
        <v>Books</v>
      </c>
      <c r="S35" t="str">
        <f>_xlfn.XLOOKUP(C35,'Product Master'!$A$1:$A$23,'Product Master'!$B$1:$B$23)</f>
        <v>Novel</v>
      </c>
      <c r="T35">
        <f t="shared" si="3"/>
        <v>0</v>
      </c>
    </row>
    <row r="36" spans="1:20" x14ac:dyDescent="0.3">
      <c r="A36" s="1" t="s">
        <v>112</v>
      </c>
      <c r="B36" s="1" t="s">
        <v>113</v>
      </c>
      <c r="C36" s="1" t="s">
        <v>47</v>
      </c>
      <c r="D36" s="1" t="s">
        <v>21</v>
      </c>
      <c r="E36" s="1">
        <v>172</v>
      </c>
      <c r="F36" s="1">
        <v>1</v>
      </c>
      <c r="G36" s="1">
        <v>172</v>
      </c>
      <c r="H36" s="1" t="s">
        <v>24</v>
      </c>
      <c r="I36" s="1" t="s">
        <v>19</v>
      </c>
      <c r="J36" s="1" t="s">
        <v>23</v>
      </c>
      <c r="K36" s="2">
        <v>45282</v>
      </c>
      <c r="L36" s="2">
        <v>45286</v>
      </c>
      <c r="M36" s="2"/>
      <c r="N36" t="str">
        <f t="shared" si="0"/>
        <v>Delivered</v>
      </c>
      <c r="O36">
        <f t="shared" si="1"/>
        <v>4</v>
      </c>
      <c r="P36" t="str">
        <f t="shared" si="2"/>
        <v>Slow</v>
      </c>
      <c r="Q36" t="str">
        <f>_xlfn.XLOOKUP(Orders!B36,'Customer Master'!$A$1:$A$50,'Customer Master'!$B$1:$B$50)</f>
        <v>Luke Gray</v>
      </c>
      <c r="R36" t="str">
        <f>_xlfn.XLOOKUP(Orders!C36,'Product Master'!$A$1:$A$23,'Product Master'!$C$1:$C$23)</f>
        <v>Electronics</v>
      </c>
      <c r="S36" t="str">
        <f>_xlfn.XLOOKUP(C36,'Product Master'!$A$1:$A$23,'Product Master'!$B$1:$B$23)</f>
        <v>Headphones</v>
      </c>
      <c r="T36">
        <f t="shared" si="3"/>
        <v>172</v>
      </c>
    </row>
    <row r="37" spans="1:20" x14ac:dyDescent="0.3">
      <c r="A37" s="1" t="s">
        <v>114</v>
      </c>
      <c r="B37" s="1" t="s">
        <v>107</v>
      </c>
      <c r="C37" s="1" t="s">
        <v>48</v>
      </c>
      <c r="D37" s="1" t="s">
        <v>12</v>
      </c>
      <c r="E37" s="1">
        <v>212</v>
      </c>
      <c r="F37" s="1">
        <v>3</v>
      </c>
      <c r="G37" s="1">
        <v>636</v>
      </c>
      <c r="H37" s="1" t="s">
        <v>28</v>
      </c>
      <c r="I37" s="1" t="s">
        <v>22</v>
      </c>
      <c r="J37" s="1" t="s">
        <v>25</v>
      </c>
      <c r="K37" s="2">
        <v>45130</v>
      </c>
      <c r="L37" s="2"/>
      <c r="M37" s="2"/>
      <c r="N37" t="str">
        <f t="shared" si="0"/>
        <v>Delivered</v>
      </c>
      <c r="O37" t="str">
        <f t="shared" si="1"/>
        <v>NA</v>
      </c>
      <c r="P37" t="str">
        <f t="shared" si="2"/>
        <v>Cancelled</v>
      </c>
      <c r="Q37" t="str">
        <f>_xlfn.XLOOKUP(Orders!B37,'Customer Master'!$A$1:$A$50,'Customer Master'!$B$1:$B$50)</f>
        <v>Harper Young</v>
      </c>
      <c r="R37" t="str">
        <f>_xlfn.XLOOKUP(Orders!C37,'Product Master'!$A$1:$A$23,'Product Master'!$C$1:$C$23)</f>
        <v>Home</v>
      </c>
      <c r="S37" t="str">
        <f>_xlfn.XLOOKUP(C37,'Product Master'!$A$1:$A$23,'Product Master'!$B$1:$B$23)</f>
        <v>Cookware Set Pro</v>
      </c>
      <c r="T37">
        <f t="shared" si="3"/>
        <v>0</v>
      </c>
    </row>
    <row r="38" spans="1:20" x14ac:dyDescent="0.3">
      <c r="A38" s="1" t="s">
        <v>115</v>
      </c>
      <c r="B38" s="1" t="s">
        <v>60</v>
      </c>
      <c r="C38" s="1" t="s">
        <v>44</v>
      </c>
      <c r="D38" s="1" t="s">
        <v>17</v>
      </c>
      <c r="E38" s="1">
        <v>41</v>
      </c>
      <c r="F38" s="1">
        <v>4</v>
      </c>
      <c r="G38" s="1">
        <v>164</v>
      </c>
      <c r="H38" s="1" t="s">
        <v>18</v>
      </c>
      <c r="I38" s="1" t="s">
        <v>19</v>
      </c>
      <c r="J38" s="1" t="s">
        <v>27</v>
      </c>
      <c r="K38" s="2">
        <v>45216</v>
      </c>
      <c r="L38" s="2">
        <v>45221</v>
      </c>
      <c r="M38" s="2"/>
      <c r="N38" t="str">
        <f t="shared" si="0"/>
        <v>Delivered</v>
      </c>
      <c r="O38">
        <f t="shared" si="1"/>
        <v>5</v>
      </c>
      <c r="P38" t="str">
        <f t="shared" si="2"/>
        <v>Slow</v>
      </c>
      <c r="Q38" t="str">
        <f>_xlfn.XLOOKUP(Orders!B38,'Customer Master'!$A$1:$A$50,'Customer Master'!$B$1:$B$50)</f>
        <v>Grace Ward</v>
      </c>
      <c r="R38" t="str">
        <f>_xlfn.XLOOKUP(Orders!C38,'Product Master'!$A$1:$A$23,'Product Master'!$C$1:$C$23)</f>
        <v>Toys</v>
      </c>
      <c r="S38" t="str">
        <f>_xlfn.XLOOKUP(C38,'Product Master'!$A$1:$A$23,'Product Master'!$B$1:$B$23)</f>
        <v>Action Figure</v>
      </c>
      <c r="T38">
        <f t="shared" si="3"/>
        <v>164</v>
      </c>
    </row>
    <row r="39" spans="1:20" x14ac:dyDescent="0.3">
      <c r="A39" s="1" t="s">
        <v>116</v>
      </c>
      <c r="B39" s="1" t="s">
        <v>95</v>
      </c>
      <c r="C39" s="1" t="s">
        <v>49</v>
      </c>
      <c r="D39" s="1" t="s">
        <v>12</v>
      </c>
      <c r="E39" s="1">
        <v>32</v>
      </c>
      <c r="F39" s="1">
        <v>2</v>
      </c>
      <c r="G39" s="1">
        <v>64</v>
      </c>
      <c r="H39" s="1" t="s">
        <v>31</v>
      </c>
      <c r="I39" s="1" t="s">
        <v>14</v>
      </c>
      <c r="J39" s="1" t="s">
        <v>37</v>
      </c>
      <c r="K39" s="2">
        <v>45160</v>
      </c>
      <c r="L39" s="2"/>
      <c r="M39" s="2">
        <v>45162</v>
      </c>
      <c r="N39" t="str">
        <f t="shared" si="0"/>
        <v>Cancelled</v>
      </c>
      <c r="O39" t="str">
        <f t="shared" si="1"/>
        <v>NA</v>
      </c>
      <c r="P39" t="str">
        <f t="shared" si="2"/>
        <v>Cancelled</v>
      </c>
      <c r="Q39" t="str">
        <f>_xlfn.XLOOKUP(Orders!B39,'Customer Master'!$A$1:$A$50,'Customer Master'!$B$1:$B$50)</f>
        <v>Lily Bennett</v>
      </c>
      <c r="R39" t="str">
        <f>_xlfn.XLOOKUP(Orders!C39,'Product Master'!$A$1:$A$23,'Product Master'!$C$1:$C$23)</f>
        <v>Toys</v>
      </c>
      <c r="S39" t="str">
        <f>_xlfn.XLOOKUP(C39,'Product Master'!$A$1:$A$23,'Product Master'!$B$1:$B$23)</f>
        <v>Puzzle</v>
      </c>
      <c r="T39">
        <f t="shared" si="3"/>
        <v>0</v>
      </c>
    </row>
    <row r="40" spans="1:20" x14ac:dyDescent="0.3">
      <c r="A40" s="1" t="s">
        <v>117</v>
      </c>
      <c r="B40" s="1" t="s">
        <v>118</v>
      </c>
      <c r="C40" s="1" t="s">
        <v>45</v>
      </c>
      <c r="D40" s="1" t="s">
        <v>17</v>
      </c>
      <c r="E40" s="1">
        <v>66</v>
      </c>
      <c r="F40" s="1">
        <v>2</v>
      </c>
      <c r="G40" s="1">
        <v>132</v>
      </c>
      <c r="H40" s="1" t="s">
        <v>13</v>
      </c>
      <c r="I40" s="1" t="s">
        <v>22</v>
      </c>
      <c r="J40" s="1" t="s">
        <v>15</v>
      </c>
      <c r="K40" s="2">
        <v>45262</v>
      </c>
      <c r="L40" s="2"/>
      <c r="M40" s="2"/>
      <c r="N40" t="str">
        <f t="shared" si="0"/>
        <v>Delivered</v>
      </c>
      <c r="O40" t="str">
        <f t="shared" si="1"/>
        <v>NA</v>
      </c>
      <c r="P40" t="str">
        <f t="shared" si="2"/>
        <v>Cancelled</v>
      </c>
      <c r="Q40" t="str">
        <f>_xlfn.XLOOKUP(Orders!B40,'Customer Master'!$A$1:$A$50,'Customer Master'!$B$1:$B$50)</f>
        <v>Scarlett Murphy</v>
      </c>
      <c r="R40" t="str">
        <f>_xlfn.XLOOKUP(Orders!C40,'Product Master'!$A$1:$A$23,'Product Master'!$C$1:$C$23)</f>
        <v>Fashion</v>
      </c>
      <c r="S40" t="str">
        <f>_xlfn.XLOOKUP(C40,'Product Master'!$A$1:$A$23,'Product Master'!$B$1:$B$23)</f>
        <v>Backpack</v>
      </c>
      <c r="T40">
        <f t="shared" si="3"/>
        <v>0</v>
      </c>
    </row>
    <row r="41" spans="1:20" x14ac:dyDescent="0.3">
      <c r="A41" s="1" t="s">
        <v>119</v>
      </c>
      <c r="B41" s="1" t="s">
        <v>120</v>
      </c>
      <c r="C41" s="1" t="s">
        <v>50</v>
      </c>
      <c r="D41" s="1" t="s">
        <v>17</v>
      </c>
      <c r="E41" s="1">
        <v>62</v>
      </c>
      <c r="F41" s="1">
        <v>4</v>
      </c>
      <c r="G41" s="1">
        <v>248</v>
      </c>
      <c r="H41" s="1" t="s">
        <v>31</v>
      </c>
      <c r="I41" s="1" t="s">
        <v>22</v>
      </c>
      <c r="J41" s="1" t="s">
        <v>25</v>
      </c>
      <c r="K41" s="2">
        <v>45285</v>
      </c>
      <c r="L41" s="2"/>
      <c r="M41" s="2"/>
      <c r="N41" t="str">
        <f t="shared" si="0"/>
        <v>Delivered</v>
      </c>
      <c r="O41" t="str">
        <f t="shared" si="1"/>
        <v>NA</v>
      </c>
      <c r="P41" t="str">
        <f t="shared" si="2"/>
        <v>Cancelled</v>
      </c>
      <c r="Q41" t="str">
        <f>_xlfn.XLOOKUP(Orders!B41,'Customer Master'!$A$1:$A$50,'Customer Master'!$B$1:$B$50)</f>
        <v>Ava Robinson</v>
      </c>
      <c r="R41" t="str">
        <f>_xlfn.XLOOKUP(Orders!C41,'Product Master'!$A$1:$A$23,'Product Master'!$C$1:$C$23)</f>
        <v>Toys</v>
      </c>
      <c r="S41" t="str">
        <f>_xlfn.XLOOKUP(C41,'Product Master'!$A$1:$A$23,'Product Master'!$B$1:$B$23)</f>
        <v>Leg Set</v>
      </c>
      <c r="T41">
        <f t="shared" si="3"/>
        <v>0</v>
      </c>
    </row>
    <row r="42" spans="1:20" x14ac:dyDescent="0.3">
      <c r="A42" s="1" t="s">
        <v>121</v>
      </c>
      <c r="B42" s="1" t="s">
        <v>122</v>
      </c>
      <c r="C42" s="1" t="s">
        <v>47</v>
      </c>
      <c r="D42" s="1" t="s">
        <v>33</v>
      </c>
      <c r="E42" s="1">
        <v>173</v>
      </c>
      <c r="F42" s="1">
        <v>4</v>
      </c>
      <c r="G42" s="1">
        <v>692</v>
      </c>
      <c r="H42" s="1" t="s">
        <v>13</v>
      </c>
      <c r="I42" s="1" t="s">
        <v>19</v>
      </c>
      <c r="J42" s="1" t="s">
        <v>25</v>
      </c>
      <c r="K42" s="2">
        <v>45192</v>
      </c>
      <c r="L42" s="2">
        <v>45199</v>
      </c>
      <c r="M42" s="2"/>
      <c r="N42" t="str">
        <f t="shared" si="0"/>
        <v>Delivered</v>
      </c>
      <c r="O42">
        <f t="shared" si="1"/>
        <v>7</v>
      </c>
      <c r="P42" t="str">
        <f t="shared" si="2"/>
        <v>Slow</v>
      </c>
      <c r="Q42" t="str">
        <f>_xlfn.XLOOKUP(Orders!B42,'Customer Master'!$A$1:$A$50,'Customer Master'!$B$1:$B$50)</f>
        <v>James Miller</v>
      </c>
      <c r="R42" t="str">
        <f>_xlfn.XLOOKUP(Orders!C42,'Product Master'!$A$1:$A$23,'Product Master'!$C$1:$C$23)</f>
        <v>Electronics</v>
      </c>
      <c r="S42" t="str">
        <f>_xlfn.XLOOKUP(C42,'Product Master'!$A$1:$A$23,'Product Master'!$B$1:$B$23)</f>
        <v>Headphones</v>
      </c>
      <c r="T42">
        <f t="shared" si="3"/>
        <v>692</v>
      </c>
    </row>
    <row r="43" spans="1:20" x14ac:dyDescent="0.3">
      <c r="A43" s="1" t="s">
        <v>123</v>
      </c>
      <c r="B43" s="1" t="s">
        <v>103</v>
      </c>
      <c r="C43" s="1" t="s">
        <v>50</v>
      </c>
      <c r="D43" s="1" t="s">
        <v>33</v>
      </c>
      <c r="E43" s="1">
        <v>63</v>
      </c>
      <c r="F43" s="1">
        <v>3</v>
      </c>
      <c r="G43" s="1">
        <v>189</v>
      </c>
      <c r="H43" s="1" t="s">
        <v>13</v>
      </c>
      <c r="I43" s="1" t="s">
        <v>19</v>
      </c>
      <c r="J43" s="1" t="s">
        <v>25</v>
      </c>
      <c r="K43" s="2">
        <v>45123</v>
      </c>
      <c r="L43" s="2">
        <v>45125</v>
      </c>
      <c r="M43" s="2"/>
      <c r="N43" t="str">
        <f t="shared" si="0"/>
        <v>Delivered</v>
      </c>
      <c r="O43">
        <f t="shared" si="1"/>
        <v>2</v>
      </c>
      <c r="P43" t="str">
        <f t="shared" si="2"/>
        <v>Fast</v>
      </c>
      <c r="Q43" t="str">
        <f>_xlfn.XLOOKUP(Orders!B43,'Customer Master'!$A$1:$A$50,'Customer Master'!$B$1:$B$50)</f>
        <v>Liam Walker</v>
      </c>
      <c r="R43" t="str">
        <f>_xlfn.XLOOKUP(Orders!C43,'Product Master'!$A$1:$A$23,'Product Master'!$C$1:$C$23)</f>
        <v>Toys</v>
      </c>
      <c r="S43" t="str">
        <f>_xlfn.XLOOKUP(C43,'Product Master'!$A$1:$A$23,'Product Master'!$B$1:$B$23)</f>
        <v>Leg Set</v>
      </c>
      <c r="T43">
        <f t="shared" si="3"/>
        <v>189</v>
      </c>
    </row>
    <row r="44" spans="1:20" x14ac:dyDescent="0.3">
      <c r="A44" s="1" t="s">
        <v>124</v>
      </c>
      <c r="B44" s="1" t="s">
        <v>97</v>
      </c>
      <c r="C44" s="1" t="s">
        <v>32</v>
      </c>
      <c r="D44" s="1" t="s">
        <v>33</v>
      </c>
      <c r="E44" s="1">
        <v>36</v>
      </c>
      <c r="F44" s="1">
        <v>3</v>
      </c>
      <c r="G44" s="1">
        <v>108</v>
      </c>
      <c r="H44" s="1" t="s">
        <v>31</v>
      </c>
      <c r="I44" s="1" t="s">
        <v>14</v>
      </c>
      <c r="J44" s="1" t="s">
        <v>23</v>
      </c>
      <c r="K44" s="2">
        <v>44962</v>
      </c>
      <c r="L44" s="2"/>
      <c r="M44" s="2">
        <v>44968</v>
      </c>
      <c r="N44" t="str">
        <f t="shared" si="0"/>
        <v>Cancelled</v>
      </c>
      <c r="O44" t="str">
        <f t="shared" si="1"/>
        <v>NA</v>
      </c>
      <c r="P44" t="str">
        <f t="shared" si="2"/>
        <v>Cancelled</v>
      </c>
      <c r="Q44" t="str">
        <f>_xlfn.XLOOKUP(Orders!B44,'Customer Master'!$A$1:$A$50,'Customer Master'!$B$1:$B$50)</f>
        <v>Benjamin Clark</v>
      </c>
      <c r="R44" t="str">
        <f>_xlfn.XLOOKUP(Orders!C44,'Product Master'!$A$1:$A$23,'Product Master'!$C$1:$C$23)</f>
        <v>Home</v>
      </c>
      <c r="S44" t="str">
        <f>_xlfn.XLOOKUP(C44,'Product Master'!$A$1:$A$23,'Product Master'!$B$1:$B$23)</f>
        <v>Wall Clock</v>
      </c>
      <c r="T44">
        <f t="shared" si="3"/>
        <v>0</v>
      </c>
    </row>
    <row r="45" spans="1:20" x14ac:dyDescent="0.3">
      <c r="A45" s="1" t="s">
        <v>125</v>
      </c>
      <c r="B45" s="1" t="s">
        <v>120</v>
      </c>
      <c r="C45" s="1" t="s">
        <v>50</v>
      </c>
      <c r="D45" s="1" t="s">
        <v>30</v>
      </c>
      <c r="E45" s="1">
        <v>62</v>
      </c>
      <c r="F45" s="1">
        <v>1</v>
      </c>
      <c r="G45" s="1">
        <v>62</v>
      </c>
      <c r="H45" s="1" t="s">
        <v>13</v>
      </c>
      <c r="I45" s="1" t="s">
        <v>14</v>
      </c>
      <c r="J45" s="1" t="s">
        <v>27</v>
      </c>
      <c r="K45" s="2">
        <v>45278</v>
      </c>
      <c r="L45" s="2"/>
      <c r="M45" s="2">
        <v>45283</v>
      </c>
      <c r="N45" t="str">
        <f t="shared" si="0"/>
        <v>Cancelled</v>
      </c>
      <c r="O45" t="str">
        <f t="shared" si="1"/>
        <v>NA</v>
      </c>
      <c r="P45" t="str">
        <f t="shared" si="2"/>
        <v>Cancelled</v>
      </c>
      <c r="Q45" t="str">
        <f>_xlfn.XLOOKUP(Orders!B45,'Customer Master'!$A$1:$A$50,'Customer Master'!$B$1:$B$50)</f>
        <v>Ava Robinson</v>
      </c>
      <c r="R45" t="str">
        <f>_xlfn.XLOOKUP(Orders!C45,'Product Master'!$A$1:$A$23,'Product Master'!$C$1:$C$23)</f>
        <v>Toys</v>
      </c>
      <c r="S45" t="str">
        <f>_xlfn.XLOOKUP(C45,'Product Master'!$A$1:$A$23,'Product Master'!$B$1:$B$23)</f>
        <v>Leg Set</v>
      </c>
      <c r="T45">
        <f t="shared" si="3"/>
        <v>0</v>
      </c>
    </row>
    <row r="46" spans="1:20" x14ac:dyDescent="0.3">
      <c r="A46" s="1" t="s">
        <v>126</v>
      </c>
      <c r="B46" s="1" t="s">
        <v>66</v>
      </c>
      <c r="C46" s="1" t="s">
        <v>35</v>
      </c>
      <c r="D46" s="1" t="s">
        <v>30</v>
      </c>
      <c r="E46" s="1">
        <v>137</v>
      </c>
      <c r="F46" s="1">
        <v>5</v>
      </c>
      <c r="G46" s="1">
        <v>685</v>
      </c>
      <c r="H46" s="1" t="s">
        <v>28</v>
      </c>
      <c r="I46" s="1" t="s">
        <v>14</v>
      </c>
      <c r="J46" s="1" t="s">
        <v>37</v>
      </c>
      <c r="K46" s="2">
        <v>45088</v>
      </c>
      <c r="L46" s="2"/>
      <c r="M46" s="2">
        <v>45091</v>
      </c>
      <c r="N46" t="str">
        <f t="shared" si="0"/>
        <v>Cancelled</v>
      </c>
      <c r="O46" t="str">
        <f t="shared" si="1"/>
        <v>NA</v>
      </c>
      <c r="P46" t="str">
        <f t="shared" si="2"/>
        <v>Cancelled</v>
      </c>
      <c r="Q46" t="str">
        <f>_xlfn.XLOOKUP(Orders!B46,'Customer Master'!$A$1:$A$50,'Customer Master'!$B$1:$B$50)</f>
        <v>Noah Wilson</v>
      </c>
      <c r="R46" t="str">
        <f>_xlfn.XLOOKUP(Orders!C46,'Product Master'!$A$1:$A$23,'Product Master'!$C$1:$C$23)</f>
        <v>Home</v>
      </c>
      <c r="S46" t="str">
        <f>_xlfn.XLOOKUP(C46,'Product Master'!$A$1:$A$23,'Product Master'!$B$1:$B$23)</f>
        <v>Cookware Set</v>
      </c>
      <c r="T46">
        <f t="shared" si="3"/>
        <v>0</v>
      </c>
    </row>
    <row r="47" spans="1:20" x14ac:dyDescent="0.3">
      <c r="A47" s="1" t="s">
        <v>127</v>
      </c>
      <c r="B47" s="1" t="s">
        <v>128</v>
      </c>
      <c r="C47" s="1" t="s">
        <v>39</v>
      </c>
      <c r="D47" s="1" t="s">
        <v>12</v>
      </c>
      <c r="E47" s="1">
        <v>73</v>
      </c>
      <c r="F47" s="1">
        <v>4</v>
      </c>
      <c r="G47" s="1">
        <v>292</v>
      </c>
      <c r="H47" s="1" t="s">
        <v>18</v>
      </c>
      <c r="I47" s="1" t="s">
        <v>19</v>
      </c>
      <c r="J47" s="1" t="s">
        <v>27</v>
      </c>
      <c r="K47" s="2">
        <v>45264</v>
      </c>
      <c r="L47" s="2">
        <v>45268</v>
      </c>
      <c r="M47" s="2"/>
      <c r="N47" t="str">
        <f t="shared" si="0"/>
        <v>Delivered</v>
      </c>
      <c r="O47">
        <f t="shared" si="1"/>
        <v>4</v>
      </c>
      <c r="P47" t="str">
        <f t="shared" si="2"/>
        <v>Slow</v>
      </c>
      <c r="Q47" t="str">
        <f>_xlfn.XLOOKUP(Orders!B47,'Customer Master'!$A$1:$A$50,'Customer Master'!$B$1:$B$50)</f>
        <v>Logan Ramirez</v>
      </c>
      <c r="R47" t="str">
        <f>_xlfn.XLOOKUP(Orders!C47,'Product Master'!$A$1:$A$23,'Product Master'!$C$1:$C$23)</f>
        <v>Electronics</v>
      </c>
      <c r="S47" t="str">
        <f>_xlfn.XLOOKUP(C47,'Product Master'!$A$1:$A$23,'Product Master'!$B$1:$B$23)</f>
        <v>Gaming Mouse</v>
      </c>
      <c r="T47">
        <f t="shared" si="3"/>
        <v>292</v>
      </c>
    </row>
    <row r="48" spans="1:20" x14ac:dyDescent="0.3">
      <c r="A48" s="1" t="s">
        <v>129</v>
      </c>
      <c r="B48" s="1" t="s">
        <v>87</v>
      </c>
      <c r="C48" s="1" t="s">
        <v>29</v>
      </c>
      <c r="D48" s="1" t="s">
        <v>12</v>
      </c>
      <c r="E48" s="1">
        <v>104</v>
      </c>
      <c r="F48" s="1">
        <v>1</v>
      </c>
      <c r="G48" s="1">
        <v>104</v>
      </c>
      <c r="H48" s="1" t="s">
        <v>24</v>
      </c>
      <c r="I48" s="1" t="s">
        <v>19</v>
      </c>
      <c r="J48" s="1" t="s">
        <v>27</v>
      </c>
      <c r="K48" s="2">
        <v>45124</v>
      </c>
      <c r="L48" s="2">
        <v>45126</v>
      </c>
      <c r="M48" s="2"/>
      <c r="N48" t="str">
        <f t="shared" si="0"/>
        <v>Delivered</v>
      </c>
      <c r="O48">
        <f t="shared" si="1"/>
        <v>2</v>
      </c>
      <c r="P48" t="str">
        <f t="shared" si="2"/>
        <v>Fast</v>
      </c>
      <c r="Q48" t="str">
        <f>_xlfn.XLOOKUP(Orders!B48,'Customer Master'!$A$1:$A$50,'Customer Master'!$B$1:$B$50)</f>
        <v>Jacob Price</v>
      </c>
      <c r="R48" t="str">
        <f>_xlfn.XLOOKUP(Orders!C48,'Product Master'!$A$1:$A$23,'Product Master'!$C$1:$C$23)</f>
        <v>Electronics</v>
      </c>
      <c r="S48" t="str">
        <f>_xlfn.XLOOKUP(C48,'Product Master'!$A$1:$A$23,'Product Master'!$B$1:$B$23)</f>
        <v>Bluetooth Speaker</v>
      </c>
      <c r="T48">
        <f t="shared" si="3"/>
        <v>104</v>
      </c>
    </row>
    <row r="49" spans="1:20" x14ac:dyDescent="0.3">
      <c r="A49" s="1" t="s">
        <v>130</v>
      </c>
      <c r="B49" s="1" t="s">
        <v>60</v>
      </c>
      <c r="C49" s="1" t="s">
        <v>38</v>
      </c>
      <c r="D49" s="1" t="s">
        <v>17</v>
      </c>
      <c r="E49" s="1">
        <v>97</v>
      </c>
      <c r="F49" s="1">
        <v>1</v>
      </c>
      <c r="G49" s="1">
        <v>97</v>
      </c>
      <c r="H49" s="1" t="s">
        <v>28</v>
      </c>
      <c r="I49" s="1" t="s">
        <v>19</v>
      </c>
      <c r="J49" s="1" t="s">
        <v>37</v>
      </c>
      <c r="K49" s="2">
        <v>45218</v>
      </c>
      <c r="L49" s="2">
        <v>45223</v>
      </c>
      <c r="M49" s="2"/>
      <c r="N49" t="str">
        <f t="shared" si="0"/>
        <v>Delivered</v>
      </c>
      <c r="O49">
        <f t="shared" si="1"/>
        <v>5</v>
      </c>
      <c r="P49" t="str">
        <f t="shared" si="2"/>
        <v>Slow</v>
      </c>
      <c r="Q49" t="str">
        <f>_xlfn.XLOOKUP(Orders!B49,'Customer Master'!$A$1:$A$50,'Customer Master'!$B$1:$B$50)</f>
        <v>Grace Ward</v>
      </c>
      <c r="R49" t="str">
        <f>_xlfn.XLOOKUP(Orders!C49,'Product Master'!$A$1:$A$23,'Product Master'!$C$1:$C$23)</f>
        <v>Fashion</v>
      </c>
      <c r="S49" t="str">
        <f>_xlfn.XLOOKUP(C49,'Product Master'!$A$1:$A$23,'Product Master'!$B$1:$B$23)</f>
        <v>Shoes</v>
      </c>
      <c r="T49">
        <f t="shared" si="3"/>
        <v>97</v>
      </c>
    </row>
    <row r="50" spans="1:20" x14ac:dyDescent="0.3">
      <c r="A50" s="1" t="s">
        <v>131</v>
      </c>
      <c r="B50" s="1" t="s">
        <v>132</v>
      </c>
      <c r="C50" s="1" t="s">
        <v>39</v>
      </c>
      <c r="D50" s="1" t="s">
        <v>21</v>
      </c>
      <c r="E50" s="1">
        <v>73</v>
      </c>
      <c r="F50" s="1">
        <v>5</v>
      </c>
      <c r="G50" s="1">
        <v>365</v>
      </c>
      <c r="H50" s="1" t="s">
        <v>13</v>
      </c>
      <c r="I50" s="1" t="s">
        <v>22</v>
      </c>
      <c r="J50" s="1" t="s">
        <v>27</v>
      </c>
      <c r="K50" s="2">
        <v>45061</v>
      </c>
      <c r="L50" s="2"/>
      <c r="M50" s="2"/>
      <c r="N50" t="str">
        <f t="shared" si="0"/>
        <v>Delivered</v>
      </c>
      <c r="O50" t="str">
        <f t="shared" si="1"/>
        <v>NA</v>
      </c>
      <c r="P50" t="str">
        <f t="shared" si="2"/>
        <v>Cancelled</v>
      </c>
      <c r="Q50" t="str">
        <f>_xlfn.XLOOKUP(Orders!B50,'Customer Master'!$A$1:$A$50,'Customer Master'!$B$1:$B$50)</f>
        <v>Zoe Mitchell</v>
      </c>
      <c r="R50" t="str">
        <f>_xlfn.XLOOKUP(Orders!C50,'Product Master'!$A$1:$A$23,'Product Master'!$C$1:$C$23)</f>
        <v>Electronics</v>
      </c>
      <c r="S50" t="str">
        <f>_xlfn.XLOOKUP(C50,'Product Master'!$A$1:$A$23,'Product Master'!$B$1:$B$23)</f>
        <v>Gaming Mouse</v>
      </c>
      <c r="T50">
        <f t="shared" si="3"/>
        <v>0</v>
      </c>
    </row>
    <row r="51" spans="1:20" x14ac:dyDescent="0.3">
      <c r="A51" s="1" t="s">
        <v>133</v>
      </c>
      <c r="B51" s="1" t="s">
        <v>97</v>
      </c>
      <c r="C51" s="1" t="s">
        <v>40</v>
      </c>
      <c r="D51" s="1" t="s">
        <v>17</v>
      </c>
      <c r="E51" s="1">
        <v>27</v>
      </c>
      <c r="F51" s="1">
        <v>3</v>
      </c>
      <c r="G51" s="1">
        <v>81</v>
      </c>
      <c r="H51" s="1" t="s">
        <v>28</v>
      </c>
      <c r="I51" s="1" t="s">
        <v>19</v>
      </c>
      <c r="J51" s="1" t="s">
        <v>25</v>
      </c>
      <c r="K51" s="2">
        <v>44969</v>
      </c>
      <c r="L51" s="2">
        <v>44976</v>
      </c>
      <c r="M51" s="2"/>
      <c r="N51" t="str">
        <f t="shared" si="0"/>
        <v>Delivered</v>
      </c>
      <c r="O51">
        <f t="shared" si="1"/>
        <v>7</v>
      </c>
      <c r="P51" t="str">
        <f t="shared" si="2"/>
        <v>Slow</v>
      </c>
      <c r="Q51" t="str">
        <f>_xlfn.XLOOKUP(Orders!B51,'Customer Master'!$A$1:$A$50,'Customer Master'!$B$1:$B$50)</f>
        <v>Benjamin Clark</v>
      </c>
      <c r="R51" t="str">
        <f>_xlfn.XLOOKUP(Orders!C51,'Product Master'!$A$1:$A$23,'Product Master'!$C$1:$C$23)</f>
        <v>Fashion</v>
      </c>
      <c r="S51" t="str">
        <f>_xlfn.XLOOKUP(C51,'Product Master'!$A$1:$A$23,'Product Master'!$B$1:$B$23)</f>
        <v>T-Shirt</v>
      </c>
      <c r="T51">
        <f t="shared" si="3"/>
        <v>81</v>
      </c>
    </row>
    <row r="52" spans="1:20" x14ac:dyDescent="0.3">
      <c r="A52" s="1" t="s">
        <v>134</v>
      </c>
      <c r="B52" s="1" t="s">
        <v>87</v>
      </c>
      <c r="C52" s="1" t="s">
        <v>32</v>
      </c>
      <c r="D52" s="1" t="s">
        <v>12</v>
      </c>
      <c r="E52" s="1">
        <v>37</v>
      </c>
      <c r="F52" s="1">
        <v>1</v>
      </c>
      <c r="G52" s="1">
        <v>37</v>
      </c>
      <c r="H52" s="1" t="s">
        <v>13</v>
      </c>
      <c r="I52" s="1" t="s">
        <v>22</v>
      </c>
      <c r="J52" s="1" t="s">
        <v>25</v>
      </c>
      <c r="K52" s="2">
        <v>45201</v>
      </c>
      <c r="L52" s="2"/>
      <c r="M52" s="2"/>
      <c r="N52" t="str">
        <f t="shared" si="0"/>
        <v>Delivered</v>
      </c>
      <c r="O52" t="str">
        <f t="shared" si="1"/>
        <v>NA</v>
      </c>
      <c r="P52" t="str">
        <f t="shared" si="2"/>
        <v>Cancelled</v>
      </c>
      <c r="Q52" t="str">
        <f>_xlfn.XLOOKUP(Orders!B52,'Customer Master'!$A$1:$A$50,'Customer Master'!$B$1:$B$50)</f>
        <v>Jacob Price</v>
      </c>
      <c r="R52" t="str">
        <f>_xlfn.XLOOKUP(Orders!C52,'Product Master'!$A$1:$A$23,'Product Master'!$C$1:$C$23)</f>
        <v>Home</v>
      </c>
      <c r="S52" t="str">
        <f>_xlfn.XLOOKUP(C52,'Product Master'!$A$1:$A$23,'Product Master'!$B$1:$B$23)</f>
        <v>Wall Clock</v>
      </c>
      <c r="T52">
        <f t="shared" si="3"/>
        <v>0</v>
      </c>
    </row>
    <row r="53" spans="1:20" x14ac:dyDescent="0.3">
      <c r="A53" s="1" t="s">
        <v>135</v>
      </c>
      <c r="B53" s="1" t="s">
        <v>105</v>
      </c>
      <c r="C53" s="1" t="s">
        <v>41</v>
      </c>
      <c r="D53" s="1" t="s">
        <v>12</v>
      </c>
      <c r="E53" s="1">
        <v>22</v>
      </c>
      <c r="F53" s="1">
        <v>1</v>
      </c>
      <c r="G53" s="1">
        <v>22</v>
      </c>
      <c r="H53" s="1" t="s">
        <v>31</v>
      </c>
      <c r="I53" s="1" t="s">
        <v>19</v>
      </c>
      <c r="J53" s="1" t="s">
        <v>37</v>
      </c>
      <c r="K53" s="2">
        <v>44956</v>
      </c>
      <c r="L53" s="2">
        <v>44958</v>
      </c>
      <c r="M53" s="2"/>
      <c r="N53" t="str">
        <f t="shared" si="0"/>
        <v>Delivered</v>
      </c>
      <c r="O53">
        <f t="shared" si="1"/>
        <v>2</v>
      </c>
      <c r="P53" t="str">
        <f t="shared" si="2"/>
        <v>Fast</v>
      </c>
      <c r="Q53" t="str">
        <f>_xlfn.XLOOKUP(Orders!B53,'Customer Master'!$A$1:$A$50,'Customer Master'!$B$1:$B$50)</f>
        <v>Harper Young</v>
      </c>
      <c r="R53" t="str">
        <f>_xlfn.XLOOKUP(Orders!C53,'Product Master'!$A$1:$A$23,'Product Master'!$C$1:$C$23)</f>
        <v>Books</v>
      </c>
      <c r="S53" t="str">
        <f>_xlfn.XLOOKUP(C53,'Product Master'!$A$1:$A$23,'Product Master'!$B$1:$B$23)</f>
        <v>Novel</v>
      </c>
      <c r="T53">
        <f t="shared" si="3"/>
        <v>22</v>
      </c>
    </row>
    <row r="54" spans="1:20" x14ac:dyDescent="0.3">
      <c r="A54" s="1" t="s">
        <v>136</v>
      </c>
      <c r="B54" s="1" t="s">
        <v>85</v>
      </c>
      <c r="C54" s="1" t="s">
        <v>48</v>
      </c>
      <c r="D54" s="1" t="s">
        <v>30</v>
      </c>
      <c r="E54" s="1">
        <v>218</v>
      </c>
      <c r="F54" s="1">
        <v>5</v>
      </c>
      <c r="G54" s="1">
        <v>1090</v>
      </c>
      <c r="H54" s="1" t="s">
        <v>24</v>
      </c>
      <c r="I54" s="1" t="s">
        <v>19</v>
      </c>
      <c r="J54" s="1" t="s">
        <v>15</v>
      </c>
      <c r="K54" s="2">
        <v>45289</v>
      </c>
      <c r="L54" s="2">
        <v>45292</v>
      </c>
      <c r="M54" s="2"/>
      <c r="N54" t="str">
        <f t="shared" si="0"/>
        <v>Delivered</v>
      </c>
      <c r="O54">
        <f t="shared" si="1"/>
        <v>3</v>
      </c>
      <c r="P54" t="str">
        <f t="shared" si="2"/>
        <v>Slow</v>
      </c>
      <c r="Q54" t="str">
        <f>_xlfn.XLOOKUP(Orders!B54,'Customer Master'!$A$1:$A$50,'Customer Master'!$B$1:$B$50)</f>
        <v>Mason Hall</v>
      </c>
      <c r="R54" t="str">
        <f>_xlfn.XLOOKUP(Orders!C54,'Product Master'!$A$1:$A$23,'Product Master'!$C$1:$C$23)</f>
        <v>Home</v>
      </c>
      <c r="S54" t="str">
        <f>_xlfn.XLOOKUP(C54,'Product Master'!$A$1:$A$23,'Product Master'!$B$1:$B$23)</f>
        <v>Cookware Set Pro</v>
      </c>
      <c r="T54">
        <f t="shared" si="3"/>
        <v>1090</v>
      </c>
    </row>
    <row r="55" spans="1:20" x14ac:dyDescent="0.3">
      <c r="A55" s="1" t="s">
        <v>137</v>
      </c>
      <c r="B55" s="1" t="s">
        <v>100</v>
      </c>
      <c r="C55" s="1" t="s">
        <v>50</v>
      </c>
      <c r="D55" s="1" t="s">
        <v>12</v>
      </c>
      <c r="E55" s="1">
        <v>64</v>
      </c>
      <c r="F55" s="1">
        <v>1</v>
      </c>
      <c r="G55" s="1">
        <v>64</v>
      </c>
      <c r="H55" s="1" t="s">
        <v>13</v>
      </c>
      <c r="I55" s="1" t="s">
        <v>14</v>
      </c>
      <c r="J55" s="1" t="s">
        <v>23</v>
      </c>
      <c r="K55" s="2">
        <v>44991</v>
      </c>
      <c r="L55" s="2"/>
      <c r="M55" s="2">
        <v>44998</v>
      </c>
      <c r="N55" t="str">
        <f t="shared" si="0"/>
        <v>Cancelled</v>
      </c>
      <c r="O55" t="str">
        <f t="shared" si="1"/>
        <v>NA</v>
      </c>
      <c r="P55" t="str">
        <f t="shared" si="2"/>
        <v>Cancelled</v>
      </c>
      <c r="Q55" t="str">
        <f>_xlfn.XLOOKUP(Orders!B55,'Customer Master'!$A$1:$A$50,'Customer Master'!$B$1:$B$50)</f>
        <v>Grace Scott</v>
      </c>
      <c r="R55" t="str">
        <f>_xlfn.XLOOKUP(Orders!C55,'Product Master'!$A$1:$A$23,'Product Master'!$C$1:$C$23)</f>
        <v>Toys</v>
      </c>
      <c r="S55" t="str">
        <f>_xlfn.XLOOKUP(C55,'Product Master'!$A$1:$A$23,'Product Master'!$B$1:$B$23)</f>
        <v>Leg Set</v>
      </c>
      <c r="T55">
        <f t="shared" si="3"/>
        <v>0</v>
      </c>
    </row>
    <row r="56" spans="1:20" x14ac:dyDescent="0.3">
      <c r="A56" s="1" t="s">
        <v>138</v>
      </c>
      <c r="B56" s="1" t="s">
        <v>109</v>
      </c>
      <c r="C56" s="1" t="s">
        <v>32</v>
      </c>
      <c r="D56" s="1" t="s">
        <v>30</v>
      </c>
      <c r="E56" s="1">
        <v>36</v>
      </c>
      <c r="F56" s="1">
        <v>4</v>
      </c>
      <c r="G56" s="1">
        <v>144</v>
      </c>
      <c r="H56" s="1" t="s">
        <v>24</v>
      </c>
      <c r="I56" s="1" t="s">
        <v>19</v>
      </c>
      <c r="J56" s="1" t="s">
        <v>27</v>
      </c>
      <c r="K56" s="2">
        <v>44959</v>
      </c>
      <c r="L56" s="2">
        <v>44963</v>
      </c>
      <c r="M56" s="2"/>
      <c r="N56" t="str">
        <f t="shared" si="0"/>
        <v>Delivered</v>
      </c>
      <c r="O56">
        <f t="shared" si="1"/>
        <v>4</v>
      </c>
      <c r="P56" t="str">
        <f t="shared" si="2"/>
        <v>Slow</v>
      </c>
      <c r="Q56" t="str">
        <f>_xlfn.XLOOKUP(Orders!B56,'Customer Master'!$A$1:$A$50,'Customer Master'!$B$1:$B$50)</f>
        <v>Emily Johnson</v>
      </c>
      <c r="R56" t="str">
        <f>_xlfn.XLOOKUP(Orders!C56,'Product Master'!$A$1:$A$23,'Product Master'!$C$1:$C$23)</f>
        <v>Home</v>
      </c>
      <c r="S56" t="str">
        <f>_xlfn.XLOOKUP(C56,'Product Master'!$A$1:$A$23,'Product Master'!$B$1:$B$23)</f>
        <v>Wall Clock</v>
      </c>
      <c r="T56">
        <f t="shared" si="3"/>
        <v>144</v>
      </c>
    </row>
    <row r="57" spans="1:20" x14ac:dyDescent="0.3">
      <c r="A57" s="1" t="s">
        <v>139</v>
      </c>
      <c r="B57" s="1" t="s">
        <v>140</v>
      </c>
      <c r="C57" s="1" t="s">
        <v>50</v>
      </c>
      <c r="D57" s="1" t="s">
        <v>33</v>
      </c>
      <c r="E57" s="1">
        <v>65</v>
      </c>
      <c r="F57" s="1">
        <v>1</v>
      </c>
      <c r="G57" s="1">
        <v>65</v>
      </c>
      <c r="H57" s="1" t="s">
        <v>28</v>
      </c>
      <c r="I57" s="1" t="s">
        <v>19</v>
      </c>
      <c r="J57" s="1" t="s">
        <v>37</v>
      </c>
      <c r="K57" s="2">
        <v>45217</v>
      </c>
      <c r="L57" s="2">
        <v>45220</v>
      </c>
      <c r="M57" s="2"/>
      <c r="N57" t="str">
        <f t="shared" si="0"/>
        <v>Delivered</v>
      </c>
      <c r="O57">
        <f t="shared" si="1"/>
        <v>3</v>
      </c>
      <c r="P57" t="str">
        <f t="shared" si="2"/>
        <v>Slow</v>
      </c>
      <c r="Q57" t="str">
        <f>_xlfn.XLOOKUP(Orders!B57,'Customer Master'!$A$1:$A$50,'Customer Master'!$B$1:$B$50)</f>
        <v>Emma King</v>
      </c>
      <c r="R57" t="str">
        <f>_xlfn.XLOOKUP(Orders!C57,'Product Master'!$A$1:$A$23,'Product Master'!$C$1:$C$23)</f>
        <v>Toys</v>
      </c>
      <c r="S57" t="str">
        <f>_xlfn.XLOOKUP(C57,'Product Master'!$A$1:$A$23,'Product Master'!$B$1:$B$23)</f>
        <v>Leg Set</v>
      </c>
      <c r="T57">
        <f t="shared" si="3"/>
        <v>65</v>
      </c>
    </row>
    <row r="58" spans="1:20" x14ac:dyDescent="0.3">
      <c r="A58" s="1" t="s">
        <v>141</v>
      </c>
      <c r="B58" s="1" t="s">
        <v>89</v>
      </c>
      <c r="C58" s="1" t="s">
        <v>40</v>
      </c>
      <c r="D58" s="1" t="s">
        <v>30</v>
      </c>
      <c r="E58" s="1">
        <v>26</v>
      </c>
      <c r="F58" s="1">
        <v>1</v>
      </c>
      <c r="G58" s="1">
        <v>26</v>
      </c>
      <c r="H58" s="1" t="s">
        <v>13</v>
      </c>
      <c r="I58" s="1" t="s">
        <v>19</v>
      </c>
      <c r="J58" s="1" t="s">
        <v>15</v>
      </c>
      <c r="K58" s="2">
        <v>44933</v>
      </c>
      <c r="L58" s="2">
        <v>44935</v>
      </c>
      <c r="M58" s="2"/>
      <c r="N58" t="str">
        <f t="shared" si="0"/>
        <v>Delivered</v>
      </c>
      <c r="O58">
        <f t="shared" si="1"/>
        <v>2</v>
      </c>
      <c r="P58" t="str">
        <f t="shared" si="2"/>
        <v>Fast</v>
      </c>
      <c r="Q58" t="str">
        <f>_xlfn.XLOOKUP(Orders!B58,'Customer Master'!$A$1:$A$50,'Customer Master'!$B$1:$B$50)</f>
        <v>Emma King</v>
      </c>
      <c r="R58" t="str">
        <f>_xlfn.XLOOKUP(Orders!C58,'Product Master'!$A$1:$A$23,'Product Master'!$C$1:$C$23)</f>
        <v>Fashion</v>
      </c>
      <c r="S58" t="str">
        <f>_xlfn.XLOOKUP(C58,'Product Master'!$A$1:$A$23,'Product Master'!$B$1:$B$23)</f>
        <v>T-Shirt</v>
      </c>
      <c r="T58">
        <f t="shared" si="3"/>
        <v>26</v>
      </c>
    </row>
    <row r="59" spans="1:20" x14ac:dyDescent="0.3">
      <c r="A59" s="1" t="s">
        <v>142</v>
      </c>
      <c r="B59" s="1" t="s">
        <v>55</v>
      </c>
      <c r="C59" s="1" t="s">
        <v>46</v>
      </c>
      <c r="D59" s="1" t="s">
        <v>12</v>
      </c>
      <c r="E59" s="1">
        <v>11</v>
      </c>
      <c r="F59" s="1">
        <v>5</v>
      </c>
      <c r="G59" s="1">
        <v>55</v>
      </c>
      <c r="H59" s="1" t="s">
        <v>18</v>
      </c>
      <c r="I59" s="1" t="s">
        <v>22</v>
      </c>
      <c r="J59" s="1" t="s">
        <v>37</v>
      </c>
      <c r="K59" s="2">
        <v>45054</v>
      </c>
      <c r="L59" s="2"/>
      <c r="M59" s="2"/>
      <c r="N59" t="str">
        <f t="shared" si="0"/>
        <v>Delivered</v>
      </c>
      <c r="O59" t="str">
        <f t="shared" si="1"/>
        <v>NA</v>
      </c>
      <c r="P59" t="str">
        <f t="shared" si="2"/>
        <v>Cancelled</v>
      </c>
      <c r="Q59" t="str">
        <f>_xlfn.XLOOKUP(Orders!B59,'Customer Master'!$A$1:$A$50,'Customer Master'!$B$1:$B$50)</f>
        <v>Zoe Mitchell</v>
      </c>
      <c r="R59" t="str">
        <f>_xlfn.XLOOKUP(Orders!C59,'Product Master'!$A$1:$A$23,'Product Master'!$C$1:$C$23)</f>
        <v>Books</v>
      </c>
      <c r="S59" t="str">
        <f>_xlfn.XLOOKUP(C59,'Product Master'!$A$1:$A$23,'Product Master'!$B$1:$B$23)</f>
        <v>Magazine</v>
      </c>
      <c r="T59">
        <f t="shared" si="3"/>
        <v>0</v>
      </c>
    </row>
    <row r="60" spans="1:20" x14ac:dyDescent="0.3">
      <c r="A60" s="1" t="s">
        <v>143</v>
      </c>
      <c r="B60" s="1" t="s">
        <v>144</v>
      </c>
      <c r="C60" s="1" t="s">
        <v>20</v>
      </c>
      <c r="D60" s="1" t="s">
        <v>12</v>
      </c>
      <c r="E60" s="1">
        <v>195</v>
      </c>
      <c r="F60" s="1">
        <v>4</v>
      </c>
      <c r="G60" s="1">
        <v>780</v>
      </c>
      <c r="H60" s="1" t="s">
        <v>24</v>
      </c>
      <c r="I60" s="1" t="s">
        <v>14</v>
      </c>
      <c r="J60" s="1" t="s">
        <v>37</v>
      </c>
      <c r="K60" s="2">
        <v>45018</v>
      </c>
      <c r="L60" s="2"/>
      <c r="M60" s="2">
        <v>45021</v>
      </c>
      <c r="N60" t="str">
        <f t="shared" si="0"/>
        <v>Cancelled</v>
      </c>
      <c r="O60" t="str">
        <f t="shared" si="1"/>
        <v>NA</v>
      </c>
      <c r="P60" t="str">
        <f t="shared" si="2"/>
        <v>Cancelled</v>
      </c>
      <c r="Q60" t="str">
        <f>_xlfn.XLOOKUP(Orders!B60,'Customer Master'!$A$1:$A$50,'Customer Master'!$B$1:$B$50)</f>
        <v>Ethan Davis</v>
      </c>
      <c r="R60" t="str">
        <f>_xlfn.XLOOKUP(Orders!C60,'Product Master'!$A$1:$A$23,'Product Master'!$C$1:$C$23)</f>
        <v>Home</v>
      </c>
      <c r="S60" t="str">
        <f>_xlfn.XLOOKUP(C60,'Product Master'!$A$1:$A$23,'Product Master'!$B$1:$B$23)</f>
        <v>Vacuum Cleaner</v>
      </c>
      <c r="T60">
        <f t="shared" si="3"/>
        <v>0</v>
      </c>
    </row>
    <row r="61" spans="1:20" x14ac:dyDescent="0.3">
      <c r="A61" s="1" t="s">
        <v>145</v>
      </c>
      <c r="B61" s="1" t="s">
        <v>68</v>
      </c>
      <c r="C61" s="1" t="s">
        <v>34</v>
      </c>
      <c r="D61" s="1" t="s">
        <v>33</v>
      </c>
      <c r="E61" s="1">
        <v>44</v>
      </c>
      <c r="F61" s="1">
        <v>5</v>
      </c>
      <c r="G61" s="1">
        <v>220</v>
      </c>
      <c r="H61" s="1" t="s">
        <v>13</v>
      </c>
      <c r="I61" s="1" t="s">
        <v>14</v>
      </c>
      <c r="J61" s="1" t="s">
        <v>23</v>
      </c>
      <c r="K61" s="2">
        <v>45210</v>
      </c>
      <c r="L61" s="2"/>
      <c r="M61" s="2">
        <v>45211</v>
      </c>
      <c r="N61" t="str">
        <f t="shared" si="0"/>
        <v>Cancelled</v>
      </c>
      <c r="O61" t="str">
        <f t="shared" si="1"/>
        <v>NA</v>
      </c>
      <c r="P61" t="str">
        <f t="shared" si="2"/>
        <v>Cancelled</v>
      </c>
      <c r="Q61" t="str">
        <f>_xlfn.XLOOKUP(Orders!B61,'Customer Master'!$A$1:$A$50,'Customer Master'!$B$1:$B$50)</f>
        <v>Ava Robinson</v>
      </c>
      <c r="R61" t="str">
        <f>_xlfn.XLOOKUP(Orders!C61,'Product Master'!$A$1:$A$23,'Product Master'!$C$1:$C$23)</f>
        <v>Fashion</v>
      </c>
      <c r="S61" t="str">
        <f>_xlfn.XLOOKUP(C61,'Product Master'!$A$1:$A$23,'Product Master'!$B$1:$B$23)</f>
        <v>Formal Shirt</v>
      </c>
      <c r="T61">
        <f t="shared" si="3"/>
        <v>0</v>
      </c>
    </row>
    <row r="62" spans="1:20" x14ac:dyDescent="0.3">
      <c r="A62" s="1" t="s">
        <v>146</v>
      </c>
      <c r="B62" s="1" t="s">
        <v>147</v>
      </c>
      <c r="C62" s="1" t="s">
        <v>42</v>
      </c>
      <c r="D62" s="1" t="s">
        <v>17</v>
      </c>
      <c r="E62" s="1">
        <v>69</v>
      </c>
      <c r="F62" s="1">
        <v>4</v>
      </c>
      <c r="G62" s="1">
        <v>276</v>
      </c>
      <c r="H62" s="1" t="s">
        <v>31</v>
      </c>
      <c r="I62" s="1" t="s">
        <v>22</v>
      </c>
      <c r="J62" s="1" t="s">
        <v>15</v>
      </c>
      <c r="K62" s="2">
        <v>45179</v>
      </c>
      <c r="L62" s="2"/>
      <c r="M62" s="2"/>
      <c r="N62" t="str">
        <f t="shared" si="0"/>
        <v>Delivered</v>
      </c>
      <c r="O62" t="str">
        <f t="shared" si="1"/>
        <v>NA</v>
      </c>
      <c r="P62" t="str">
        <f t="shared" si="2"/>
        <v>Cancelled</v>
      </c>
      <c r="Q62" t="str">
        <f>_xlfn.XLOOKUP(Orders!B62,'Customer Master'!$A$1:$A$50,'Customer Master'!$B$1:$B$50)</f>
        <v>Scarlett Adams</v>
      </c>
      <c r="R62" t="str">
        <f>_xlfn.XLOOKUP(Orders!C62,'Product Master'!$A$1:$A$23,'Product Master'!$C$1:$C$23)</f>
        <v>Books</v>
      </c>
      <c r="S62" t="str">
        <f>_xlfn.XLOOKUP(C62,'Product Master'!$A$1:$A$23,'Product Master'!$B$1:$B$23)</f>
        <v>Textbook</v>
      </c>
      <c r="T62">
        <f t="shared" si="3"/>
        <v>0</v>
      </c>
    </row>
    <row r="63" spans="1:20" x14ac:dyDescent="0.3">
      <c r="A63" s="1" t="s">
        <v>148</v>
      </c>
      <c r="B63" s="1" t="s">
        <v>149</v>
      </c>
      <c r="C63" s="1" t="s">
        <v>43</v>
      </c>
      <c r="D63" s="1" t="s">
        <v>12</v>
      </c>
      <c r="E63" s="1">
        <v>815</v>
      </c>
      <c r="F63" s="1">
        <v>4</v>
      </c>
      <c r="G63" s="1">
        <v>3260</v>
      </c>
      <c r="H63" s="1" t="s">
        <v>18</v>
      </c>
      <c r="I63" s="1" t="s">
        <v>19</v>
      </c>
      <c r="J63" s="1" t="s">
        <v>23</v>
      </c>
      <c r="K63" s="2">
        <v>45252</v>
      </c>
      <c r="L63" s="2">
        <v>45259</v>
      </c>
      <c r="M63" s="2"/>
      <c r="N63" t="str">
        <f t="shared" si="0"/>
        <v>Delivered</v>
      </c>
      <c r="O63">
        <f t="shared" si="1"/>
        <v>7</v>
      </c>
      <c r="P63" t="str">
        <f t="shared" si="2"/>
        <v>Slow</v>
      </c>
      <c r="Q63" t="str">
        <f>_xlfn.XLOOKUP(Orders!B63,'Customer Master'!$A$1:$A$50,'Customer Master'!$B$1:$B$50)</f>
        <v>Elijah Lewis</v>
      </c>
      <c r="R63" t="str">
        <f>_xlfn.XLOOKUP(Orders!C63,'Product Master'!$A$1:$A$23,'Product Master'!$C$1:$C$23)</f>
        <v>Electronics</v>
      </c>
      <c r="S63" t="str">
        <f>_xlfn.XLOOKUP(C63,'Product Master'!$A$1:$A$23,'Product Master'!$B$1:$B$23)</f>
        <v>Smartphone</v>
      </c>
      <c r="T63">
        <f t="shared" si="3"/>
        <v>3260</v>
      </c>
    </row>
    <row r="64" spans="1:20" x14ac:dyDescent="0.3">
      <c r="A64" s="1" t="s">
        <v>150</v>
      </c>
      <c r="B64" s="1" t="s">
        <v>151</v>
      </c>
      <c r="C64" s="1" t="s">
        <v>40</v>
      </c>
      <c r="D64" s="1" t="s">
        <v>17</v>
      </c>
      <c r="E64" s="1">
        <v>27</v>
      </c>
      <c r="F64" s="1">
        <v>1</v>
      </c>
      <c r="G64" s="1">
        <v>27</v>
      </c>
      <c r="H64" s="1" t="s">
        <v>31</v>
      </c>
      <c r="I64" s="1" t="s">
        <v>22</v>
      </c>
      <c r="J64" s="1" t="s">
        <v>27</v>
      </c>
      <c r="K64" s="2">
        <v>45048</v>
      </c>
      <c r="L64" s="2"/>
      <c r="M64" s="2"/>
      <c r="N64" t="str">
        <f t="shared" si="0"/>
        <v>Delivered</v>
      </c>
      <c r="O64" t="str">
        <f t="shared" si="1"/>
        <v>NA</v>
      </c>
      <c r="P64" t="str">
        <f t="shared" si="2"/>
        <v>Cancelled</v>
      </c>
      <c r="Q64" t="str">
        <f>_xlfn.XLOOKUP(Orders!B64,'Customer Master'!$A$1:$A$50,'Customer Master'!$B$1:$B$50)</f>
        <v>Noah Wilson</v>
      </c>
      <c r="R64" t="str">
        <f>_xlfn.XLOOKUP(Orders!C64,'Product Master'!$A$1:$A$23,'Product Master'!$C$1:$C$23)</f>
        <v>Fashion</v>
      </c>
      <c r="S64" t="str">
        <f>_xlfn.XLOOKUP(C64,'Product Master'!$A$1:$A$23,'Product Master'!$B$1:$B$23)</f>
        <v>T-Shirt</v>
      </c>
      <c r="T64">
        <f t="shared" si="3"/>
        <v>0</v>
      </c>
    </row>
    <row r="65" spans="1:20" x14ac:dyDescent="0.3">
      <c r="A65" s="1" t="s">
        <v>152</v>
      </c>
      <c r="B65" s="1" t="s">
        <v>153</v>
      </c>
      <c r="C65" s="1" t="s">
        <v>35</v>
      </c>
      <c r="D65" s="1" t="s">
        <v>33</v>
      </c>
      <c r="E65" s="1">
        <v>139</v>
      </c>
      <c r="F65" s="1">
        <v>5</v>
      </c>
      <c r="G65" s="1">
        <v>695</v>
      </c>
      <c r="H65" s="1" t="s">
        <v>13</v>
      </c>
      <c r="I65" s="1" t="s">
        <v>19</v>
      </c>
      <c r="J65" s="1" t="s">
        <v>23</v>
      </c>
      <c r="K65" s="2">
        <v>45285</v>
      </c>
      <c r="L65" s="2">
        <v>45289</v>
      </c>
      <c r="M65" s="2"/>
      <c r="N65" t="str">
        <f t="shared" si="0"/>
        <v>Delivered</v>
      </c>
      <c r="O65">
        <f t="shared" si="1"/>
        <v>4</v>
      </c>
      <c r="P65" t="str">
        <f t="shared" si="2"/>
        <v>Slow</v>
      </c>
      <c r="Q65" t="str">
        <f>_xlfn.XLOOKUP(Orders!B65,'Customer Master'!$A$1:$A$50,'Customer Master'!$B$1:$B$50)</f>
        <v>Noah Wilson</v>
      </c>
      <c r="R65" t="str">
        <f>_xlfn.XLOOKUP(Orders!C65,'Product Master'!$A$1:$A$23,'Product Master'!$C$1:$C$23)</f>
        <v>Home</v>
      </c>
      <c r="S65" t="str">
        <f>_xlfn.XLOOKUP(C65,'Product Master'!$A$1:$A$23,'Product Master'!$B$1:$B$23)</f>
        <v>Cookware Set</v>
      </c>
      <c r="T65">
        <f t="shared" si="3"/>
        <v>695</v>
      </c>
    </row>
    <row r="66" spans="1:20" x14ac:dyDescent="0.3">
      <c r="A66" s="1" t="s">
        <v>154</v>
      </c>
      <c r="B66" s="1" t="s">
        <v>64</v>
      </c>
      <c r="C66" s="1" t="s">
        <v>42</v>
      </c>
      <c r="D66" s="1" t="s">
        <v>21</v>
      </c>
      <c r="E66" s="1">
        <v>69</v>
      </c>
      <c r="F66" s="1">
        <v>3</v>
      </c>
      <c r="G66" s="1">
        <v>207</v>
      </c>
      <c r="H66" s="1" t="s">
        <v>24</v>
      </c>
      <c r="I66" s="1" t="s">
        <v>14</v>
      </c>
      <c r="J66" s="1" t="s">
        <v>27</v>
      </c>
      <c r="K66" s="2">
        <v>45217</v>
      </c>
      <c r="L66" s="2"/>
      <c r="M66" s="2">
        <v>45219</v>
      </c>
      <c r="N66" t="str">
        <f t="shared" si="0"/>
        <v>Cancelled</v>
      </c>
      <c r="O66" t="str">
        <f t="shared" si="1"/>
        <v>NA</v>
      </c>
      <c r="P66" t="str">
        <f t="shared" si="2"/>
        <v>Cancelled</v>
      </c>
      <c r="Q66" t="str">
        <f>_xlfn.XLOOKUP(Orders!B66,'Customer Master'!$A$1:$A$50,'Customer Master'!$B$1:$B$50)</f>
        <v>Jackson Allen</v>
      </c>
      <c r="R66" t="str">
        <f>_xlfn.XLOOKUP(Orders!C66,'Product Master'!$A$1:$A$23,'Product Master'!$C$1:$C$23)</f>
        <v>Books</v>
      </c>
      <c r="S66" t="str">
        <f>_xlfn.XLOOKUP(C66,'Product Master'!$A$1:$A$23,'Product Master'!$B$1:$B$23)</f>
        <v>Textbook</v>
      </c>
      <c r="T66">
        <f t="shared" si="3"/>
        <v>0</v>
      </c>
    </row>
    <row r="67" spans="1:20" x14ac:dyDescent="0.3">
      <c r="A67" s="1" t="s">
        <v>155</v>
      </c>
      <c r="B67" s="1" t="s">
        <v>64</v>
      </c>
      <c r="C67" s="1" t="s">
        <v>34</v>
      </c>
      <c r="D67" s="1" t="s">
        <v>33</v>
      </c>
      <c r="E67" s="1">
        <v>42</v>
      </c>
      <c r="F67" s="1">
        <v>1</v>
      </c>
      <c r="G67" s="1">
        <v>42</v>
      </c>
      <c r="H67" s="1" t="s">
        <v>13</v>
      </c>
      <c r="I67" s="1" t="s">
        <v>14</v>
      </c>
      <c r="J67" s="1" t="s">
        <v>15</v>
      </c>
      <c r="K67" s="2">
        <v>45066</v>
      </c>
      <c r="L67" s="2"/>
      <c r="M67" s="2">
        <v>45067</v>
      </c>
      <c r="N67" t="str">
        <f t="shared" ref="N67:N101" si="4">IF(M67&lt;&gt;"","Cancelled","Delivered")</f>
        <v>Cancelled</v>
      </c>
      <c r="O67" t="str">
        <f t="shared" ref="O67:O101" si="5">IF(L67&lt;&gt;"",L67-K67,"NA")</f>
        <v>NA</v>
      </c>
      <c r="P67" t="str">
        <f t="shared" ref="P67:P101" si="6">IF(L67="","Cancelled",IF(L67-K67&lt;=2,"Fast","Slow"))</f>
        <v>Cancelled</v>
      </c>
      <c r="Q67" t="str">
        <f>_xlfn.XLOOKUP(Orders!B67,'Customer Master'!$A$1:$A$50,'Customer Master'!$B$1:$B$50)</f>
        <v>Jackson Allen</v>
      </c>
      <c r="R67" t="str">
        <f>_xlfn.XLOOKUP(Orders!C67,'Product Master'!$A$1:$A$23,'Product Master'!$C$1:$C$23)</f>
        <v>Fashion</v>
      </c>
      <c r="S67" t="str">
        <f>_xlfn.XLOOKUP(C67,'Product Master'!$A$1:$A$23,'Product Master'!$B$1:$B$23)</f>
        <v>Formal Shirt</v>
      </c>
      <c r="T67">
        <f t="shared" ref="T67:T101" si="7">IF(I67="Delivered",G67,0)</f>
        <v>0</v>
      </c>
    </row>
    <row r="68" spans="1:20" x14ac:dyDescent="0.3">
      <c r="A68" s="1" t="s">
        <v>156</v>
      </c>
      <c r="B68" s="1" t="s">
        <v>157</v>
      </c>
      <c r="C68" s="1" t="s">
        <v>49</v>
      </c>
      <c r="D68" s="1" t="s">
        <v>12</v>
      </c>
      <c r="E68" s="1">
        <v>31</v>
      </c>
      <c r="F68" s="1">
        <v>4</v>
      </c>
      <c r="G68" s="1">
        <v>124</v>
      </c>
      <c r="H68" s="1" t="s">
        <v>18</v>
      </c>
      <c r="I68" s="1" t="s">
        <v>19</v>
      </c>
      <c r="J68" s="1" t="s">
        <v>25</v>
      </c>
      <c r="K68" s="2">
        <v>45135</v>
      </c>
      <c r="L68" s="2">
        <v>45137</v>
      </c>
      <c r="M68" s="2"/>
      <c r="N68" t="str">
        <f t="shared" si="4"/>
        <v>Delivered</v>
      </c>
      <c r="O68">
        <f t="shared" si="5"/>
        <v>2</v>
      </c>
      <c r="P68" t="str">
        <f t="shared" si="6"/>
        <v>Fast</v>
      </c>
      <c r="Q68" t="e">
        <f>_xlfn.XLOOKUP(Orders!B68,'Customer Master'!$A$1:$A$50,'Customer Master'!$B$1:$B$50)</f>
        <v>#N/A</v>
      </c>
      <c r="R68" t="str">
        <f>_xlfn.XLOOKUP(Orders!C68,'Product Master'!$A$1:$A$23,'Product Master'!$C$1:$C$23)</f>
        <v>Toys</v>
      </c>
      <c r="S68" t="str">
        <f>_xlfn.XLOOKUP(C68,'Product Master'!$A$1:$A$23,'Product Master'!$B$1:$B$23)</f>
        <v>Puzzle</v>
      </c>
      <c r="T68">
        <f t="shared" si="7"/>
        <v>124</v>
      </c>
    </row>
    <row r="69" spans="1:20" x14ac:dyDescent="0.3">
      <c r="A69" s="1" t="s">
        <v>158</v>
      </c>
      <c r="B69" s="1" t="s">
        <v>75</v>
      </c>
      <c r="C69" s="1" t="s">
        <v>29</v>
      </c>
      <c r="D69" s="1" t="s">
        <v>33</v>
      </c>
      <c r="E69" s="1">
        <v>104</v>
      </c>
      <c r="F69" s="1">
        <v>3</v>
      </c>
      <c r="G69" s="1">
        <v>312</v>
      </c>
      <c r="H69" s="1" t="s">
        <v>18</v>
      </c>
      <c r="I69" s="1" t="s">
        <v>22</v>
      </c>
      <c r="J69" s="1" t="s">
        <v>25</v>
      </c>
      <c r="K69" s="2">
        <v>45278</v>
      </c>
      <c r="L69" s="2"/>
      <c r="M69" s="2"/>
      <c r="N69" t="str">
        <f t="shared" si="4"/>
        <v>Delivered</v>
      </c>
      <c r="O69" t="str">
        <f t="shared" si="5"/>
        <v>NA</v>
      </c>
      <c r="P69" t="str">
        <f t="shared" si="6"/>
        <v>Cancelled</v>
      </c>
      <c r="Q69" t="str">
        <f>_xlfn.XLOOKUP(Orders!B69,'Customer Master'!$A$1:$A$50,'Customer Master'!$B$1:$B$50)</f>
        <v>Emily Johnson</v>
      </c>
      <c r="R69" t="str">
        <f>_xlfn.XLOOKUP(Orders!C69,'Product Master'!$A$1:$A$23,'Product Master'!$C$1:$C$23)</f>
        <v>Electronics</v>
      </c>
      <c r="S69" t="str">
        <f>_xlfn.XLOOKUP(C69,'Product Master'!$A$1:$A$23,'Product Master'!$B$1:$B$23)</f>
        <v>Bluetooth Speaker</v>
      </c>
      <c r="T69">
        <f t="shared" si="7"/>
        <v>0</v>
      </c>
    </row>
    <row r="70" spans="1:20" x14ac:dyDescent="0.3">
      <c r="A70" s="1" t="s">
        <v>159</v>
      </c>
      <c r="B70" s="1" t="s">
        <v>60</v>
      </c>
      <c r="C70" s="1" t="s">
        <v>26</v>
      </c>
      <c r="D70" s="1" t="s">
        <v>17</v>
      </c>
      <c r="E70" s="1">
        <v>58</v>
      </c>
      <c r="F70" s="1">
        <v>2</v>
      </c>
      <c r="G70" s="1">
        <v>116</v>
      </c>
      <c r="H70" s="1" t="s">
        <v>13</v>
      </c>
      <c r="I70" s="1" t="s">
        <v>14</v>
      </c>
      <c r="J70" s="1" t="s">
        <v>23</v>
      </c>
      <c r="K70" s="2">
        <v>45109</v>
      </c>
      <c r="L70" s="2"/>
      <c r="M70" s="2">
        <v>45114</v>
      </c>
      <c r="N70" t="str">
        <f t="shared" si="4"/>
        <v>Cancelled</v>
      </c>
      <c r="O70" t="str">
        <f t="shared" si="5"/>
        <v>NA</v>
      </c>
      <c r="P70" t="str">
        <f t="shared" si="6"/>
        <v>Cancelled</v>
      </c>
      <c r="Q70" t="str">
        <f>_xlfn.XLOOKUP(Orders!B70,'Customer Master'!$A$1:$A$50,'Customer Master'!$B$1:$B$50)</f>
        <v>Grace Ward</v>
      </c>
      <c r="R70" t="str">
        <f>_xlfn.XLOOKUP(Orders!C70,'Product Master'!$A$1:$A$23,'Product Master'!$C$1:$C$23)</f>
        <v>Fashion</v>
      </c>
      <c r="S70" t="str">
        <f>_xlfn.XLOOKUP(C70,'Product Master'!$A$1:$A$23,'Product Master'!$B$1:$B$23)</f>
        <v>Jeans</v>
      </c>
      <c r="T70">
        <f t="shared" si="7"/>
        <v>0</v>
      </c>
    </row>
    <row r="71" spans="1:20" x14ac:dyDescent="0.3">
      <c r="A71" s="1" t="s">
        <v>160</v>
      </c>
      <c r="B71" s="1" t="s">
        <v>64</v>
      </c>
      <c r="C71" s="1" t="s">
        <v>50</v>
      </c>
      <c r="D71" s="1" t="s">
        <v>33</v>
      </c>
      <c r="E71" s="1">
        <v>62</v>
      </c>
      <c r="F71" s="1">
        <v>2</v>
      </c>
      <c r="G71" s="1">
        <v>124</v>
      </c>
      <c r="H71" s="1" t="s">
        <v>31</v>
      </c>
      <c r="I71" s="1" t="s">
        <v>14</v>
      </c>
      <c r="J71" s="1" t="s">
        <v>15</v>
      </c>
      <c r="K71" s="2">
        <v>45208</v>
      </c>
      <c r="L71" s="2"/>
      <c r="M71" s="2">
        <v>45209</v>
      </c>
      <c r="N71" t="str">
        <f t="shared" si="4"/>
        <v>Cancelled</v>
      </c>
      <c r="O71" t="str">
        <f t="shared" si="5"/>
        <v>NA</v>
      </c>
      <c r="P71" t="str">
        <f t="shared" si="6"/>
        <v>Cancelled</v>
      </c>
      <c r="Q71" t="str">
        <f>_xlfn.XLOOKUP(Orders!B71,'Customer Master'!$A$1:$A$50,'Customer Master'!$B$1:$B$50)</f>
        <v>Jackson Allen</v>
      </c>
      <c r="R71" t="str">
        <f>_xlfn.XLOOKUP(Orders!C71,'Product Master'!$A$1:$A$23,'Product Master'!$C$1:$C$23)</f>
        <v>Toys</v>
      </c>
      <c r="S71" t="str">
        <f>_xlfn.XLOOKUP(C71,'Product Master'!$A$1:$A$23,'Product Master'!$B$1:$B$23)</f>
        <v>Leg Set</v>
      </c>
      <c r="T71">
        <f t="shared" si="7"/>
        <v>0</v>
      </c>
    </row>
    <row r="72" spans="1:20" x14ac:dyDescent="0.3">
      <c r="A72" s="1" t="s">
        <v>161</v>
      </c>
      <c r="B72" s="1" t="s">
        <v>120</v>
      </c>
      <c r="C72" s="1" t="s">
        <v>34</v>
      </c>
      <c r="D72" s="1" t="s">
        <v>17</v>
      </c>
      <c r="E72" s="1">
        <v>43</v>
      </c>
      <c r="F72" s="1">
        <v>1</v>
      </c>
      <c r="G72" s="1">
        <v>43</v>
      </c>
      <c r="H72" s="1" t="s">
        <v>18</v>
      </c>
      <c r="I72" s="1" t="s">
        <v>19</v>
      </c>
      <c r="J72" s="1" t="s">
        <v>27</v>
      </c>
      <c r="K72" s="2">
        <v>45278</v>
      </c>
      <c r="L72" s="2">
        <v>45285</v>
      </c>
      <c r="M72" s="2"/>
      <c r="N72" t="str">
        <f t="shared" si="4"/>
        <v>Delivered</v>
      </c>
      <c r="O72">
        <f t="shared" si="5"/>
        <v>7</v>
      </c>
      <c r="P72" t="str">
        <f t="shared" si="6"/>
        <v>Slow</v>
      </c>
      <c r="Q72" t="str">
        <f>_xlfn.XLOOKUP(Orders!B72,'Customer Master'!$A$1:$A$50,'Customer Master'!$B$1:$B$50)</f>
        <v>Ava Robinson</v>
      </c>
      <c r="R72" t="str">
        <f>_xlfn.XLOOKUP(Orders!C72,'Product Master'!$A$1:$A$23,'Product Master'!$C$1:$C$23)</f>
        <v>Fashion</v>
      </c>
      <c r="S72" t="str">
        <f>_xlfn.XLOOKUP(C72,'Product Master'!$A$1:$A$23,'Product Master'!$B$1:$B$23)</f>
        <v>Formal Shirt</v>
      </c>
      <c r="T72">
        <f t="shared" si="7"/>
        <v>43</v>
      </c>
    </row>
    <row r="73" spans="1:20" x14ac:dyDescent="0.3">
      <c r="A73" s="1" t="s">
        <v>162</v>
      </c>
      <c r="B73" s="1" t="s">
        <v>149</v>
      </c>
      <c r="C73" s="1" t="s">
        <v>50</v>
      </c>
      <c r="D73" s="1" t="s">
        <v>17</v>
      </c>
      <c r="E73" s="1">
        <v>62</v>
      </c>
      <c r="F73" s="1">
        <v>4</v>
      </c>
      <c r="G73" s="1">
        <v>248</v>
      </c>
      <c r="H73" s="1" t="s">
        <v>31</v>
      </c>
      <c r="I73" s="1" t="s">
        <v>22</v>
      </c>
      <c r="J73" s="1" t="s">
        <v>27</v>
      </c>
      <c r="K73" s="2">
        <v>44992</v>
      </c>
      <c r="L73" s="2"/>
      <c r="M73" s="2"/>
      <c r="N73" t="str">
        <f t="shared" si="4"/>
        <v>Delivered</v>
      </c>
      <c r="O73" t="str">
        <f t="shared" si="5"/>
        <v>NA</v>
      </c>
      <c r="P73" t="str">
        <f t="shared" si="6"/>
        <v>Cancelled</v>
      </c>
      <c r="Q73" t="str">
        <f>_xlfn.XLOOKUP(Orders!B73,'Customer Master'!$A$1:$A$50,'Customer Master'!$B$1:$B$50)</f>
        <v>Elijah Lewis</v>
      </c>
      <c r="R73" t="str">
        <f>_xlfn.XLOOKUP(Orders!C73,'Product Master'!$A$1:$A$23,'Product Master'!$C$1:$C$23)</f>
        <v>Toys</v>
      </c>
      <c r="S73" t="str">
        <f>_xlfn.XLOOKUP(C73,'Product Master'!$A$1:$A$23,'Product Master'!$B$1:$B$23)</f>
        <v>Leg Set</v>
      </c>
      <c r="T73">
        <f t="shared" si="7"/>
        <v>0</v>
      </c>
    </row>
    <row r="74" spans="1:20" x14ac:dyDescent="0.3">
      <c r="A74" s="1" t="s">
        <v>163</v>
      </c>
      <c r="B74" s="1" t="s">
        <v>95</v>
      </c>
      <c r="C74" s="1" t="s">
        <v>38</v>
      </c>
      <c r="D74" s="1" t="s">
        <v>12</v>
      </c>
      <c r="E74" s="1">
        <v>95</v>
      </c>
      <c r="F74" s="1">
        <v>2</v>
      </c>
      <c r="G74" s="1">
        <v>190</v>
      </c>
      <c r="H74" s="1" t="s">
        <v>24</v>
      </c>
      <c r="I74" s="1" t="s">
        <v>14</v>
      </c>
      <c r="J74" s="1" t="s">
        <v>25</v>
      </c>
      <c r="K74" s="2">
        <v>45129</v>
      </c>
      <c r="L74" s="2"/>
      <c r="M74" s="2">
        <v>45132</v>
      </c>
      <c r="N74" t="str">
        <f t="shared" si="4"/>
        <v>Cancelled</v>
      </c>
      <c r="O74" t="str">
        <f t="shared" si="5"/>
        <v>NA</v>
      </c>
      <c r="P74" t="str">
        <f t="shared" si="6"/>
        <v>Cancelled</v>
      </c>
      <c r="Q74" t="str">
        <f>_xlfn.XLOOKUP(Orders!B74,'Customer Master'!$A$1:$A$50,'Customer Master'!$B$1:$B$50)</f>
        <v>Lily Bennett</v>
      </c>
      <c r="R74" t="str">
        <f>_xlfn.XLOOKUP(Orders!C74,'Product Master'!$A$1:$A$23,'Product Master'!$C$1:$C$23)</f>
        <v>Fashion</v>
      </c>
      <c r="S74" t="str">
        <f>_xlfn.XLOOKUP(C74,'Product Master'!$A$1:$A$23,'Product Master'!$B$1:$B$23)</f>
        <v>Shoes</v>
      </c>
      <c r="T74">
        <f t="shared" si="7"/>
        <v>0</v>
      </c>
    </row>
    <row r="75" spans="1:20" x14ac:dyDescent="0.3">
      <c r="A75" s="1" t="s">
        <v>164</v>
      </c>
      <c r="B75" s="1" t="s">
        <v>93</v>
      </c>
      <c r="C75" s="1" t="s">
        <v>32</v>
      </c>
      <c r="D75" s="1" t="s">
        <v>30</v>
      </c>
      <c r="E75" s="1">
        <v>36</v>
      </c>
      <c r="F75" s="1">
        <v>4</v>
      </c>
      <c r="G75" s="1">
        <v>144</v>
      </c>
      <c r="H75" s="1" t="s">
        <v>13</v>
      </c>
      <c r="I75" s="1" t="s">
        <v>19</v>
      </c>
      <c r="J75" s="1" t="s">
        <v>37</v>
      </c>
      <c r="K75" s="2">
        <v>44944</v>
      </c>
      <c r="L75" s="2">
        <v>44950</v>
      </c>
      <c r="M75" s="2"/>
      <c r="N75" t="str">
        <f t="shared" si="4"/>
        <v>Delivered</v>
      </c>
      <c r="O75">
        <f t="shared" si="5"/>
        <v>6</v>
      </c>
      <c r="P75" t="str">
        <f t="shared" si="6"/>
        <v>Slow</v>
      </c>
      <c r="Q75" t="str">
        <f>_xlfn.XLOOKUP(Orders!B75,'Customer Master'!$A$1:$A$50,'Customer Master'!$B$1:$B$50)</f>
        <v>Elijah Lewis</v>
      </c>
      <c r="R75" t="str">
        <f>_xlfn.XLOOKUP(Orders!C75,'Product Master'!$A$1:$A$23,'Product Master'!$C$1:$C$23)</f>
        <v>Home</v>
      </c>
      <c r="S75" t="str">
        <f>_xlfn.XLOOKUP(C75,'Product Master'!$A$1:$A$23,'Product Master'!$B$1:$B$23)</f>
        <v>Wall Clock</v>
      </c>
      <c r="T75">
        <f t="shared" si="7"/>
        <v>144</v>
      </c>
    </row>
    <row r="76" spans="1:20" x14ac:dyDescent="0.3">
      <c r="A76" s="1" t="s">
        <v>165</v>
      </c>
      <c r="B76" s="1" t="s">
        <v>66</v>
      </c>
      <c r="C76" s="1" t="s">
        <v>39</v>
      </c>
      <c r="D76" s="1" t="s">
        <v>17</v>
      </c>
      <c r="E76" s="1">
        <v>73</v>
      </c>
      <c r="F76" s="1">
        <v>5</v>
      </c>
      <c r="G76" s="1">
        <v>365</v>
      </c>
      <c r="H76" s="1" t="s">
        <v>13</v>
      </c>
      <c r="I76" s="1" t="s">
        <v>22</v>
      </c>
      <c r="J76" s="1" t="s">
        <v>15</v>
      </c>
      <c r="K76" s="2">
        <v>45070</v>
      </c>
      <c r="L76" s="2"/>
      <c r="M76" s="2"/>
      <c r="N76" t="str">
        <f t="shared" si="4"/>
        <v>Delivered</v>
      </c>
      <c r="O76" t="str">
        <f t="shared" si="5"/>
        <v>NA</v>
      </c>
      <c r="P76" t="str">
        <f t="shared" si="6"/>
        <v>Cancelled</v>
      </c>
      <c r="Q76" t="str">
        <f>_xlfn.XLOOKUP(Orders!B76,'Customer Master'!$A$1:$A$50,'Customer Master'!$B$1:$B$50)</f>
        <v>Noah Wilson</v>
      </c>
      <c r="R76" t="str">
        <f>_xlfn.XLOOKUP(Orders!C76,'Product Master'!$A$1:$A$23,'Product Master'!$C$1:$C$23)</f>
        <v>Electronics</v>
      </c>
      <c r="S76" t="str">
        <f>_xlfn.XLOOKUP(C76,'Product Master'!$A$1:$A$23,'Product Master'!$B$1:$B$23)</f>
        <v>Gaming Mouse</v>
      </c>
      <c r="T76">
        <f t="shared" si="7"/>
        <v>0</v>
      </c>
    </row>
    <row r="77" spans="1:20" x14ac:dyDescent="0.3">
      <c r="A77" s="1" t="s">
        <v>166</v>
      </c>
      <c r="B77" s="1" t="s">
        <v>77</v>
      </c>
      <c r="C77" s="1" t="s">
        <v>34</v>
      </c>
      <c r="D77" s="1" t="s">
        <v>12</v>
      </c>
      <c r="E77" s="1">
        <v>43</v>
      </c>
      <c r="F77" s="1">
        <v>4</v>
      </c>
      <c r="G77" s="1">
        <v>172</v>
      </c>
      <c r="H77" s="1" t="s">
        <v>31</v>
      </c>
      <c r="I77" s="1" t="s">
        <v>19</v>
      </c>
      <c r="J77" s="1" t="s">
        <v>15</v>
      </c>
      <c r="K77" s="2">
        <v>45172</v>
      </c>
      <c r="L77" s="2">
        <v>45178</v>
      </c>
      <c r="M77" s="2"/>
      <c r="N77" t="str">
        <f t="shared" si="4"/>
        <v>Delivered</v>
      </c>
      <c r="O77">
        <f t="shared" si="5"/>
        <v>6</v>
      </c>
      <c r="P77" t="str">
        <f t="shared" si="6"/>
        <v>Slow</v>
      </c>
      <c r="Q77" t="str">
        <f>_xlfn.XLOOKUP(Orders!B77,'Customer Master'!$A$1:$A$50,'Customer Master'!$B$1:$B$50)</f>
        <v>Charlotte Reed</v>
      </c>
      <c r="R77" t="str">
        <f>_xlfn.XLOOKUP(Orders!C77,'Product Master'!$A$1:$A$23,'Product Master'!$C$1:$C$23)</f>
        <v>Fashion</v>
      </c>
      <c r="S77" t="str">
        <f>_xlfn.XLOOKUP(C77,'Product Master'!$A$1:$A$23,'Product Master'!$B$1:$B$23)</f>
        <v>Formal Shirt</v>
      </c>
      <c r="T77">
        <f t="shared" si="7"/>
        <v>172</v>
      </c>
    </row>
    <row r="78" spans="1:20" x14ac:dyDescent="0.3">
      <c r="A78" s="1" t="s">
        <v>167</v>
      </c>
      <c r="B78" s="1" t="s">
        <v>151</v>
      </c>
      <c r="C78" s="1" t="s">
        <v>48</v>
      </c>
      <c r="D78" s="1" t="s">
        <v>33</v>
      </c>
      <c r="E78" s="1">
        <v>214</v>
      </c>
      <c r="F78" s="1">
        <v>5</v>
      </c>
      <c r="G78" s="1">
        <v>1070</v>
      </c>
      <c r="H78" s="1" t="s">
        <v>31</v>
      </c>
      <c r="I78" s="1" t="s">
        <v>19</v>
      </c>
      <c r="J78" s="1" t="s">
        <v>25</v>
      </c>
      <c r="K78" s="2">
        <v>45232</v>
      </c>
      <c r="L78" s="2">
        <v>45234</v>
      </c>
      <c r="M78" s="2"/>
      <c r="N78" t="str">
        <f t="shared" si="4"/>
        <v>Delivered</v>
      </c>
      <c r="O78">
        <f t="shared" si="5"/>
        <v>2</v>
      </c>
      <c r="P78" t="str">
        <f t="shared" si="6"/>
        <v>Fast</v>
      </c>
      <c r="Q78" t="str">
        <f>_xlfn.XLOOKUP(Orders!B78,'Customer Master'!$A$1:$A$50,'Customer Master'!$B$1:$B$50)</f>
        <v>Noah Wilson</v>
      </c>
      <c r="R78" t="str">
        <f>_xlfn.XLOOKUP(Orders!C78,'Product Master'!$A$1:$A$23,'Product Master'!$C$1:$C$23)</f>
        <v>Home</v>
      </c>
      <c r="S78" t="str">
        <f>_xlfn.XLOOKUP(C78,'Product Master'!$A$1:$A$23,'Product Master'!$B$1:$B$23)</f>
        <v>Cookware Set Pro</v>
      </c>
      <c r="T78">
        <f t="shared" si="7"/>
        <v>1070</v>
      </c>
    </row>
    <row r="79" spans="1:20" x14ac:dyDescent="0.3">
      <c r="A79" s="1" t="s">
        <v>168</v>
      </c>
      <c r="B79" s="1" t="s">
        <v>153</v>
      </c>
      <c r="C79" s="1" t="s">
        <v>44</v>
      </c>
      <c r="D79" s="1" t="s">
        <v>30</v>
      </c>
      <c r="E79" s="1">
        <v>42</v>
      </c>
      <c r="F79" s="1">
        <v>2</v>
      </c>
      <c r="G79" s="1">
        <v>84</v>
      </c>
      <c r="H79" s="1" t="s">
        <v>13</v>
      </c>
      <c r="I79" s="1" t="s">
        <v>14</v>
      </c>
      <c r="J79" s="1" t="s">
        <v>25</v>
      </c>
      <c r="K79" s="2">
        <v>45263</v>
      </c>
      <c r="L79" s="2"/>
      <c r="M79" s="2">
        <v>45266</v>
      </c>
      <c r="N79" t="str">
        <f t="shared" si="4"/>
        <v>Cancelled</v>
      </c>
      <c r="O79" t="str">
        <f t="shared" si="5"/>
        <v>NA</v>
      </c>
      <c r="P79" t="str">
        <f t="shared" si="6"/>
        <v>Cancelled</v>
      </c>
      <c r="Q79" t="str">
        <f>_xlfn.XLOOKUP(Orders!B79,'Customer Master'!$A$1:$A$50,'Customer Master'!$B$1:$B$50)</f>
        <v>Noah Wilson</v>
      </c>
      <c r="R79" t="str">
        <f>_xlfn.XLOOKUP(Orders!C79,'Product Master'!$A$1:$A$23,'Product Master'!$C$1:$C$23)</f>
        <v>Toys</v>
      </c>
      <c r="S79" t="str">
        <f>_xlfn.XLOOKUP(C79,'Product Master'!$A$1:$A$23,'Product Master'!$B$1:$B$23)</f>
        <v>Action Figure</v>
      </c>
      <c r="T79">
        <f t="shared" si="7"/>
        <v>0</v>
      </c>
    </row>
    <row r="80" spans="1:20" x14ac:dyDescent="0.3">
      <c r="A80" s="1" t="s">
        <v>169</v>
      </c>
      <c r="B80" s="1" t="s">
        <v>153</v>
      </c>
      <c r="C80" s="1" t="s">
        <v>11</v>
      </c>
      <c r="D80" s="1" t="s">
        <v>12</v>
      </c>
      <c r="E80" s="1">
        <v>46</v>
      </c>
      <c r="F80" s="1">
        <v>1</v>
      </c>
      <c r="G80" s="1">
        <v>46</v>
      </c>
      <c r="H80" s="1" t="s">
        <v>28</v>
      </c>
      <c r="I80" s="1" t="s">
        <v>22</v>
      </c>
      <c r="J80" s="1" t="s">
        <v>25</v>
      </c>
      <c r="K80" s="2">
        <v>45017</v>
      </c>
      <c r="L80" s="2"/>
      <c r="M80" s="2"/>
      <c r="N80" t="str">
        <f t="shared" si="4"/>
        <v>Delivered</v>
      </c>
      <c r="O80" t="str">
        <f t="shared" si="5"/>
        <v>NA</v>
      </c>
      <c r="P80" t="str">
        <f t="shared" si="6"/>
        <v>Cancelled</v>
      </c>
      <c r="Q80" t="str">
        <f>_xlfn.XLOOKUP(Orders!B80,'Customer Master'!$A$1:$A$50,'Customer Master'!$B$1:$B$50)</f>
        <v>Noah Wilson</v>
      </c>
      <c r="R80" t="str">
        <f>_xlfn.XLOOKUP(Orders!C80,'Product Master'!$A$1:$A$23,'Product Master'!$C$1:$C$23)</f>
        <v>Home</v>
      </c>
      <c r="S80" t="str">
        <f>_xlfn.XLOOKUP(C80,'Product Master'!$A$1:$A$23,'Product Master'!$B$1:$B$23)</f>
        <v>Lamp</v>
      </c>
      <c r="T80">
        <f t="shared" si="7"/>
        <v>0</v>
      </c>
    </row>
    <row r="81" spans="1:20" x14ac:dyDescent="0.3">
      <c r="A81" s="1" t="s">
        <v>170</v>
      </c>
      <c r="B81" s="1" t="s">
        <v>113</v>
      </c>
      <c r="C81" s="1" t="s">
        <v>16</v>
      </c>
      <c r="D81" s="1" t="s">
        <v>17</v>
      </c>
      <c r="E81" s="1">
        <v>95</v>
      </c>
      <c r="F81" s="1">
        <v>4</v>
      </c>
      <c r="G81" s="1">
        <v>380</v>
      </c>
      <c r="H81" s="1" t="s">
        <v>18</v>
      </c>
      <c r="I81" s="1" t="s">
        <v>19</v>
      </c>
      <c r="J81" s="1" t="s">
        <v>25</v>
      </c>
      <c r="K81" s="2">
        <v>45215</v>
      </c>
      <c r="L81" s="2">
        <v>45218</v>
      </c>
      <c r="M81" s="2"/>
      <c r="N81" t="str">
        <f t="shared" si="4"/>
        <v>Delivered</v>
      </c>
      <c r="O81">
        <f t="shared" si="5"/>
        <v>3</v>
      </c>
      <c r="P81" t="str">
        <f t="shared" si="6"/>
        <v>Slow</v>
      </c>
      <c r="Q81" t="str">
        <f>_xlfn.XLOOKUP(Orders!B81,'Customer Master'!$A$1:$A$50,'Customer Master'!$B$1:$B$50)</f>
        <v>Luke Gray</v>
      </c>
      <c r="R81" t="str">
        <f>_xlfn.XLOOKUP(Orders!C81,'Product Master'!$A$1:$A$23,'Product Master'!$C$1:$C$23)</f>
        <v>Toys</v>
      </c>
      <c r="S81" t="str">
        <f>_xlfn.XLOOKUP(C81,'Product Master'!$A$1:$A$23,'Product Master'!$B$1:$B$23)</f>
        <v>Doll House</v>
      </c>
      <c r="T81">
        <f t="shared" si="7"/>
        <v>380</v>
      </c>
    </row>
    <row r="82" spans="1:20" x14ac:dyDescent="0.3">
      <c r="A82" s="1" t="s">
        <v>171</v>
      </c>
      <c r="B82" s="1" t="s">
        <v>122</v>
      </c>
      <c r="C82" s="1" t="s">
        <v>47</v>
      </c>
      <c r="D82" s="1" t="s">
        <v>33</v>
      </c>
      <c r="E82" s="1">
        <v>174</v>
      </c>
      <c r="F82" s="1">
        <v>2</v>
      </c>
      <c r="G82" s="1">
        <v>348</v>
      </c>
      <c r="H82" s="1" t="s">
        <v>24</v>
      </c>
      <c r="I82" s="1" t="s">
        <v>22</v>
      </c>
      <c r="J82" s="1" t="s">
        <v>25</v>
      </c>
      <c r="K82" s="2">
        <v>45235</v>
      </c>
      <c r="L82" s="2"/>
      <c r="M82" s="2"/>
      <c r="N82" t="str">
        <f t="shared" si="4"/>
        <v>Delivered</v>
      </c>
      <c r="O82" t="str">
        <f t="shared" si="5"/>
        <v>NA</v>
      </c>
      <c r="P82" t="str">
        <f t="shared" si="6"/>
        <v>Cancelled</v>
      </c>
      <c r="Q82" t="str">
        <f>_xlfn.XLOOKUP(Orders!B82,'Customer Master'!$A$1:$A$50,'Customer Master'!$B$1:$B$50)</f>
        <v>James Miller</v>
      </c>
      <c r="R82" t="str">
        <f>_xlfn.XLOOKUP(Orders!C82,'Product Master'!$A$1:$A$23,'Product Master'!$C$1:$C$23)</f>
        <v>Electronics</v>
      </c>
      <c r="S82" t="str">
        <f>_xlfn.XLOOKUP(C82,'Product Master'!$A$1:$A$23,'Product Master'!$B$1:$B$23)</f>
        <v>Headphones</v>
      </c>
      <c r="T82">
        <f t="shared" si="7"/>
        <v>0</v>
      </c>
    </row>
    <row r="83" spans="1:20" x14ac:dyDescent="0.3">
      <c r="A83" s="1" t="s">
        <v>172</v>
      </c>
      <c r="B83" s="1" t="s">
        <v>73</v>
      </c>
      <c r="C83" s="1" t="s">
        <v>40</v>
      </c>
      <c r="D83" s="1" t="s">
        <v>12</v>
      </c>
      <c r="E83" s="1">
        <v>27</v>
      </c>
      <c r="F83" s="1">
        <v>5</v>
      </c>
      <c r="G83" s="1">
        <v>135</v>
      </c>
      <c r="H83" s="1" t="s">
        <v>18</v>
      </c>
      <c r="I83" s="1" t="s">
        <v>14</v>
      </c>
      <c r="J83" s="1" t="s">
        <v>27</v>
      </c>
      <c r="K83" s="2">
        <v>45092</v>
      </c>
      <c r="L83" s="2"/>
      <c r="M83" s="2">
        <v>45095</v>
      </c>
      <c r="N83" t="str">
        <f t="shared" si="4"/>
        <v>Cancelled</v>
      </c>
      <c r="O83" t="str">
        <f t="shared" si="5"/>
        <v>NA</v>
      </c>
      <c r="P83" t="str">
        <f t="shared" si="6"/>
        <v>Cancelled</v>
      </c>
      <c r="Q83" t="str">
        <f>_xlfn.XLOOKUP(Orders!B83,'Customer Master'!$A$1:$A$50,'Customer Master'!$B$1:$B$50)</f>
        <v>Emily Johnson</v>
      </c>
      <c r="R83" t="str">
        <f>_xlfn.XLOOKUP(Orders!C83,'Product Master'!$A$1:$A$23,'Product Master'!$C$1:$C$23)</f>
        <v>Fashion</v>
      </c>
      <c r="S83" t="str">
        <f>_xlfn.XLOOKUP(C83,'Product Master'!$A$1:$A$23,'Product Master'!$B$1:$B$23)</f>
        <v>T-Shirt</v>
      </c>
      <c r="T83">
        <f t="shared" si="7"/>
        <v>0</v>
      </c>
    </row>
    <row r="84" spans="1:20" x14ac:dyDescent="0.3">
      <c r="A84" s="1" t="s">
        <v>173</v>
      </c>
      <c r="B84" s="1" t="s">
        <v>55</v>
      </c>
      <c r="C84" s="1" t="s">
        <v>40</v>
      </c>
      <c r="D84" s="1" t="s">
        <v>21</v>
      </c>
      <c r="E84" s="1">
        <v>27</v>
      </c>
      <c r="F84" s="1">
        <v>4</v>
      </c>
      <c r="G84" s="1">
        <v>108</v>
      </c>
      <c r="H84" s="1" t="s">
        <v>24</v>
      </c>
      <c r="I84" s="1" t="s">
        <v>19</v>
      </c>
      <c r="J84" s="1" t="s">
        <v>23</v>
      </c>
      <c r="K84" s="2">
        <v>45227</v>
      </c>
      <c r="L84" s="2">
        <v>45229</v>
      </c>
      <c r="M84" s="2"/>
      <c r="N84" t="str">
        <f t="shared" si="4"/>
        <v>Delivered</v>
      </c>
      <c r="O84">
        <f t="shared" si="5"/>
        <v>2</v>
      </c>
      <c r="P84" t="str">
        <f t="shared" si="6"/>
        <v>Fast</v>
      </c>
      <c r="Q84" t="str">
        <f>_xlfn.XLOOKUP(Orders!B84,'Customer Master'!$A$1:$A$50,'Customer Master'!$B$1:$B$50)</f>
        <v>Zoe Mitchell</v>
      </c>
      <c r="R84" t="str">
        <f>_xlfn.XLOOKUP(Orders!C84,'Product Master'!$A$1:$A$23,'Product Master'!$C$1:$C$23)</f>
        <v>Fashion</v>
      </c>
      <c r="S84" t="str">
        <f>_xlfn.XLOOKUP(C84,'Product Master'!$A$1:$A$23,'Product Master'!$B$1:$B$23)</f>
        <v>T-Shirt</v>
      </c>
      <c r="T84">
        <f t="shared" si="7"/>
        <v>108</v>
      </c>
    </row>
    <row r="85" spans="1:20" x14ac:dyDescent="0.3">
      <c r="A85" s="1" t="s">
        <v>174</v>
      </c>
      <c r="B85" s="1" t="s">
        <v>175</v>
      </c>
      <c r="C85" s="1" t="s">
        <v>45</v>
      </c>
      <c r="D85" s="1" t="s">
        <v>21</v>
      </c>
      <c r="E85" s="1">
        <v>65</v>
      </c>
      <c r="F85" s="1">
        <v>2</v>
      </c>
      <c r="G85" s="1">
        <v>130</v>
      </c>
      <c r="H85" s="1" t="s">
        <v>24</v>
      </c>
      <c r="I85" s="1" t="s">
        <v>22</v>
      </c>
      <c r="J85" s="1" t="s">
        <v>15</v>
      </c>
      <c r="K85" s="2">
        <v>45282</v>
      </c>
      <c r="L85" s="2"/>
      <c r="M85" s="2"/>
      <c r="N85" t="str">
        <f t="shared" si="4"/>
        <v>Delivered</v>
      </c>
      <c r="O85" t="str">
        <f t="shared" si="5"/>
        <v>NA</v>
      </c>
      <c r="P85" t="str">
        <f t="shared" si="6"/>
        <v>Cancelled</v>
      </c>
      <c r="Q85" t="str">
        <f>_xlfn.XLOOKUP(Orders!B85,'Customer Master'!$A$1:$A$50,'Customer Master'!$B$1:$B$50)</f>
        <v>Ava White</v>
      </c>
      <c r="R85" t="str">
        <f>_xlfn.XLOOKUP(Orders!C85,'Product Master'!$A$1:$A$23,'Product Master'!$C$1:$C$23)</f>
        <v>Fashion</v>
      </c>
      <c r="S85" t="str">
        <f>_xlfn.XLOOKUP(C85,'Product Master'!$A$1:$A$23,'Product Master'!$B$1:$B$23)</f>
        <v>Backpack</v>
      </c>
      <c r="T85">
        <f t="shared" si="7"/>
        <v>0</v>
      </c>
    </row>
    <row r="86" spans="1:20" x14ac:dyDescent="0.3">
      <c r="A86" s="1" t="s">
        <v>176</v>
      </c>
      <c r="B86" s="1" t="s">
        <v>75</v>
      </c>
      <c r="C86" s="1" t="s">
        <v>34</v>
      </c>
      <c r="D86" s="1" t="s">
        <v>17</v>
      </c>
      <c r="E86" s="1">
        <v>43</v>
      </c>
      <c r="F86" s="1">
        <v>5</v>
      </c>
      <c r="G86" s="1">
        <v>215</v>
      </c>
      <c r="H86" s="1" t="s">
        <v>31</v>
      </c>
      <c r="I86" s="1" t="s">
        <v>22</v>
      </c>
      <c r="J86" s="1" t="s">
        <v>15</v>
      </c>
      <c r="K86" s="2">
        <v>44992</v>
      </c>
      <c r="L86" s="2"/>
      <c r="M86" s="2"/>
      <c r="N86" t="str">
        <f t="shared" si="4"/>
        <v>Delivered</v>
      </c>
      <c r="O86" t="str">
        <f t="shared" si="5"/>
        <v>NA</v>
      </c>
      <c r="P86" t="str">
        <f t="shared" si="6"/>
        <v>Cancelled</v>
      </c>
      <c r="Q86" t="str">
        <f>_xlfn.XLOOKUP(Orders!B86,'Customer Master'!$A$1:$A$50,'Customer Master'!$B$1:$B$50)</f>
        <v>Emily Johnson</v>
      </c>
      <c r="R86" t="str">
        <f>_xlfn.XLOOKUP(Orders!C86,'Product Master'!$A$1:$A$23,'Product Master'!$C$1:$C$23)</f>
        <v>Fashion</v>
      </c>
      <c r="S86" t="str">
        <f>_xlfn.XLOOKUP(C86,'Product Master'!$A$1:$A$23,'Product Master'!$B$1:$B$23)</f>
        <v>Formal Shirt</v>
      </c>
      <c r="T86">
        <f t="shared" si="7"/>
        <v>0</v>
      </c>
    </row>
    <row r="87" spans="1:20" x14ac:dyDescent="0.3">
      <c r="A87" s="1" t="s">
        <v>177</v>
      </c>
      <c r="B87" s="1" t="s">
        <v>103</v>
      </c>
      <c r="C87" s="1" t="s">
        <v>48</v>
      </c>
      <c r="D87" s="1" t="s">
        <v>33</v>
      </c>
      <c r="E87" s="1">
        <v>210</v>
      </c>
      <c r="F87" s="1">
        <v>1</v>
      </c>
      <c r="G87" s="1">
        <v>210</v>
      </c>
      <c r="H87" s="1" t="s">
        <v>24</v>
      </c>
      <c r="I87" s="1" t="s">
        <v>22</v>
      </c>
      <c r="J87" s="1" t="s">
        <v>25</v>
      </c>
      <c r="K87" s="2">
        <v>45240</v>
      </c>
      <c r="L87" s="2"/>
      <c r="M87" s="2"/>
      <c r="N87" t="str">
        <f t="shared" si="4"/>
        <v>Delivered</v>
      </c>
      <c r="O87" t="str">
        <f t="shared" si="5"/>
        <v>NA</v>
      </c>
      <c r="P87" t="str">
        <f t="shared" si="6"/>
        <v>Cancelled</v>
      </c>
      <c r="Q87" t="str">
        <f>_xlfn.XLOOKUP(Orders!B87,'Customer Master'!$A$1:$A$50,'Customer Master'!$B$1:$B$50)</f>
        <v>Liam Walker</v>
      </c>
      <c r="R87" t="str">
        <f>_xlfn.XLOOKUP(Orders!C87,'Product Master'!$A$1:$A$23,'Product Master'!$C$1:$C$23)</f>
        <v>Home</v>
      </c>
      <c r="S87" t="str">
        <f>_xlfn.XLOOKUP(C87,'Product Master'!$A$1:$A$23,'Product Master'!$B$1:$B$23)</f>
        <v>Cookware Set Pro</v>
      </c>
      <c r="T87">
        <f t="shared" si="7"/>
        <v>0</v>
      </c>
    </row>
    <row r="88" spans="1:20" x14ac:dyDescent="0.3">
      <c r="A88" s="1" t="s">
        <v>178</v>
      </c>
      <c r="B88" s="1" t="s">
        <v>179</v>
      </c>
      <c r="C88" s="1" t="s">
        <v>32</v>
      </c>
      <c r="D88" s="1" t="s">
        <v>21</v>
      </c>
      <c r="E88" s="1">
        <v>37</v>
      </c>
      <c r="F88" s="1">
        <v>3</v>
      </c>
      <c r="G88" s="1">
        <v>111</v>
      </c>
      <c r="H88" s="1" t="s">
        <v>18</v>
      </c>
      <c r="I88" s="1" t="s">
        <v>22</v>
      </c>
      <c r="J88" s="1" t="s">
        <v>25</v>
      </c>
      <c r="K88" s="2">
        <v>45252</v>
      </c>
      <c r="L88" s="2"/>
      <c r="M88" s="2"/>
      <c r="N88" t="str">
        <f t="shared" si="4"/>
        <v>Delivered</v>
      </c>
      <c r="O88" t="str">
        <f t="shared" si="5"/>
        <v>NA</v>
      </c>
      <c r="P88" t="str">
        <f t="shared" si="6"/>
        <v>Cancelled</v>
      </c>
      <c r="Q88" t="str">
        <f>_xlfn.XLOOKUP(Orders!B88,'Customer Master'!$A$1:$A$50,'Customer Master'!$B$1:$B$50)</f>
        <v>Lily Reed</v>
      </c>
      <c r="R88" t="str">
        <f>_xlfn.XLOOKUP(Orders!C88,'Product Master'!$A$1:$A$23,'Product Master'!$C$1:$C$23)</f>
        <v>Home</v>
      </c>
      <c r="S88" t="str">
        <f>_xlfn.XLOOKUP(C88,'Product Master'!$A$1:$A$23,'Product Master'!$B$1:$B$23)</f>
        <v>Wall Clock</v>
      </c>
      <c r="T88">
        <f t="shared" si="7"/>
        <v>0</v>
      </c>
    </row>
    <row r="89" spans="1:20" x14ac:dyDescent="0.3">
      <c r="A89" s="1" t="s">
        <v>180</v>
      </c>
      <c r="B89" s="1" t="s">
        <v>103</v>
      </c>
      <c r="C89" s="1" t="s">
        <v>43</v>
      </c>
      <c r="D89" s="1" t="s">
        <v>21</v>
      </c>
      <c r="E89" s="1">
        <v>788</v>
      </c>
      <c r="F89" s="1">
        <v>4</v>
      </c>
      <c r="G89" s="1">
        <v>3152</v>
      </c>
      <c r="H89" s="1" t="s">
        <v>31</v>
      </c>
      <c r="I89" s="1" t="s">
        <v>22</v>
      </c>
      <c r="J89" s="1" t="s">
        <v>27</v>
      </c>
      <c r="K89" s="2">
        <v>45054</v>
      </c>
      <c r="L89" s="2"/>
      <c r="M89" s="2"/>
      <c r="N89" t="str">
        <f t="shared" si="4"/>
        <v>Delivered</v>
      </c>
      <c r="O89" t="str">
        <f t="shared" si="5"/>
        <v>NA</v>
      </c>
      <c r="P89" t="str">
        <f t="shared" si="6"/>
        <v>Cancelled</v>
      </c>
      <c r="Q89" t="str">
        <f>_xlfn.XLOOKUP(Orders!B89,'Customer Master'!$A$1:$A$50,'Customer Master'!$B$1:$B$50)</f>
        <v>Liam Walker</v>
      </c>
      <c r="R89" t="str">
        <f>_xlfn.XLOOKUP(Orders!C89,'Product Master'!$A$1:$A$23,'Product Master'!$C$1:$C$23)</f>
        <v>Electronics</v>
      </c>
      <c r="S89" t="str">
        <f>_xlfn.XLOOKUP(C89,'Product Master'!$A$1:$A$23,'Product Master'!$B$1:$B$23)</f>
        <v>Smartphone</v>
      </c>
      <c r="T89">
        <f t="shared" si="7"/>
        <v>0</v>
      </c>
    </row>
    <row r="90" spans="1:20" x14ac:dyDescent="0.3">
      <c r="A90" s="1" t="s">
        <v>181</v>
      </c>
      <c r="B90" s="1" t="s">
        <v>103</v>
      </c>
      <c r="C90" s="1" t="s">
        <v>48</v>
      </c>
      <c r="D90" s="1" t="s">
        <v>33</v>
      </c>
      <c r="E90" s="1">
        <v>217</v>
      </c>
      <c r="F90" s="1">
        <v>5</v>
      </c>
      <c r="G90" s="1">
        <v>1085</v>
      </c>
      <c r="H90" s="1" t="s">
        <v>31</v>
      </c>
      <c r="I90" s="1" t="s">
        <v>22</v>
      </c>
      <c r="J90" s="1" t="s">
        <v>37</v>
      </c>
      <c r="K90" s="2">
        <v>45120</v>
      </c>
      <c r="L90" s="2"/>
      <c r="M90" s="2"/>
      <c r="N90" t="str">
        <f t="shared" si="4"/>
        <v>Delivered</v>
      </c>
      <c r="O90" t="str">
        <f t="shared" si="5"/>
        <v>NA</v>
      </c>
      <c r="P90" t="str">
        <f t="shared" si="6"/>
        <v>Cancelled</v>
      </c>
      <c r="Q90" t="str">
        <f>_xlfn.XLOOKUP(Orders!B90,'Customer Master'!$A$1:$A$50,'Customer Master'!$B$1:$B$50)</f>
        <v>Liam Walker</v>
      </c>
      <c r="R90" t="str">
        <f>_xlfn.XLOOKUP(Orders!C90,'Product Master'!$A$1:$A$23,'Product Master'!$C$1:$C$23)</f>
        <v>Home</v>
      </c>
      <c r="S90" t="str">
        <f>_xlfn.XLOOKUP(C90,'Product Master'!$A$1:$A$23,'Product Master'!$B$1:$B$23)</f>
        <v>Cookware Set Pro</v>
      </c>
      <c r="T90">
        <f t="shared" si="7"/>
        <v>0</v>
      </c>
    </row>
    <row r="91" spans="1:20" x14ac:dyDescent="0.3">
      <c r="A91" s="1" t="s">
        <v>182</v>
      </c>
      <c r="B91" s="1" t="s">
        <v>103</v>
      </c>
      <c r="C91" s="1" t="s">
        <v>35</v>
      </c>
      <c r="D91" s="1" t="s">
        <v>33</v>
      </c>
      <c r="E91" s="1">
        <v>138</v>
      </c>
      <c r="F91" s="1">
        <v>4</v>
      </c>
      <c r="G91" s="1">
        <v>552</v>
      </c>
      <c r="H91" s="1" t="s">
        <v>18</v>
      </c>
      <c r="I91" s="1" t="s">
        <v>22</v>
      </c>
      <c r="J91" s="1" t="s">
        <v>37</v>
      </c>
      <c r="K91" s="2">
        <v>44944</v>
      </c>
      <c r="L91" s="2"/>
      <c r="M91" s="2"/>
      <c r="N91" t="str">
        <f t="shared" si="4"/>
        <v>Delivered</v>
      </c>
      <c r="O91" t="str">
        <f t="shared" si="5"/>
        <v>NA</v>
      </c>
      <c r="P91" t="str">
        <f t="shared" si="6"/>
        <v>Cancelled</v>
      </c>
      <c r="Q91" t="str">
        <f>_xlfn.XLOOKUP(Orders!B91,'Customer Master'!$A$1:$A$50,'Customer Master'!$B$1:$B$50)</f>
        <v>Liam Walker</v>
      </c>
      <c r="R91" t="str">
        <f>_xlfn.XLOOKUP(Orders!C91,'Product Master'!$A$1:$A$23,'Product Master'!$C$1:$C$23)</f>
        <v>Home</v>
      </c>
      <c r="S91" t="str">
        <f>_xlfn.XLOOKUP(C91,'Product Master'!$A$1:$A$23,'Product Master'!$B$1:$B$23)</f>
        <v>Cookware Set</v>
      </c>
      <c r="T91">
        <f t="shared" si="7"/>
        <v>0</v>
      </c>
    </row>
    <row r="92" spans="1:20" x14ac:dyDescent="0.3">
      <c r="A92" s="1" t="s">
        <v>183</v>
      </c>
      <c r="B92" s="1" t="s">
        <v>184</v>
      </c>
      <c r="C92" s="1" t="s">
        <v>43</v>
      </c>
      <c r="D92" s="1" t="s">
        <v>30</v>
      </c>
      <c r="E92" s="1">
        <v>803</v>
      </c>
      <c r="F92" s="1">
        <v>2</v>
      </c>
      <c r="G92" s="1">
        <v>1606</v>
      </c>
      <c r="H92" s="1" t="s">
        <v>13</v>
      </c>
      <c r="I92" s="1" t="s">
        <v>19</v>
      </c>
      <c r="J92" s="1" t="s">
        <v>37</v>
      </c>
      <c r="K92" s="2">
        <v>45100</v>
      </c>
      <c r="L92" s="2">
        <v>45106</v>
      </c>
      <c r="M92" s="2"/>
      <c r="N92" t="str">
        <f t="shared" si="4"/>
        <v>Delivered</v>
      </c>
      <c r="O92">
        <f t="shared" si="5"/>
        <v>6</v>
      </c>
      <c r="P92" t="str">
        <f t="shared" si="6"/>
        <v>Slow</v>
      </c>
      <c r="Q92" t="str">
        <f>_xlfn.XLOOKUP(Orders!B92,'Customer Master'!$A$1:$A$50,'Customer Master'!$B$1:$B$50)</f>
        <v>Mason Collins</v>
      </c>
      <c r="R92" t="str">
        <f>_xlfn.XLOOKUP(Orders!C92,'Product Master'!$A$1:$A$23,'Product Master'!$C$1:$C$23)</f>
        <v>Electronics</v>
      </c>
      <c r="S92" t="str">
        <f>_xlfn.XLOOKUP(C92,'Product Master'!$A$1:$A$23,'Product Master'!$B$1:$B$23)</f>
        <v>Smartphone</v>
      </c>
      <c r="T92">
        <f t="shared" si="7"/>
        <v>1606</v>
      </c>
    </row>
    <row r="93" spans="1:20" x14ac:dyDescent="0.3">
      <c r="A93" s="1" t="s">
        <v>185</v>
      </c>
      <c r="B93" s="1" t="s">
        <v>70</v>
      </c>
      <c r="C93" s="1" t="s">
        <v>36</v>
      </c>
      <c r="D93" s="1" t="s">
        <v>12</v>
      </c>
      <c r="E93" s="1">
        <v>248</v>
      </c>
      <c r="F93" s="1">
        <v>5</v>
      </c>
      <c r="G93" s="1">
        <v>1240</v>
      </c>
      <c r="H93" s="1" t="s">
        <v>24</v>
      </c>
      <c r="I93" s="1" t="s">
        <v>14</v>
      </c>
      <c r="J93" s="1" t="s">
        <v>25</v>
      </c>
      <c r="K93" s="2">
        <v>44978</v>
      </c>
      <c r="L93" s="2"/>
      <c r="M93" s="2">
        <v>44982</v>
      </c>
      <c r="N93" t="str">
        <f t="shared" si="4"/>
        <v>Cancelled</v>
      </c>
      <c r="O93" t="str">
        <f t="shared" si="5"/>
        <v>NA</v>
      </c>
      <c r="P93" t="str">
        <f t="shared" si="6"/>
        <v>Cancelled</v>
      </c>
      <c r="Q93" t="str">
        <f>_xlfn.XLOOKUP(Orders!B93,'Customer Master'!$A$1:$A$50,'Customer Master'!$B$1:$B$50)</f>
        <v>Olivia Martinez</v>
      </c>
      <c r="R93" t="str">
        <f>_xlfn.XLOOKUP(Orders!C93,'Product Master'!$A$1:$A$23,'Product Master'!$C$1:$C$23)</f>
        <v>Electronics</v>
      </c>
      <c r="S93" t="str">
        <f>_xlfn.XLOOKUP(C93,'Product Master'!$A$1:$A$23,'Product Master'!$B$1:$B$23)</f>
        <v>Smartwatch</v>
      </c>
      <c r="T93">
        <f t="shared" si="7"/>
        <v>0</v>
      </c>
    </row>
    <row r="94" spans="1:20" x14ac:dyDescent="0.3">
      <c r="A94" s="1" t="s">
        <v>186</v>
      </c>
      <c r="B94" s="1" t="s">
        <v>187</v>
      </c>
      <c r="C94" s="1" t="s">
        <v>48</v>
      </c>
      <c r="D94" s="1" t="s">
        <v>17</v>
      </c>
      <c r="E94" s="1">
        <v>210</v>
      </c>
      <c r="F94" s="1">
        <v>3</v>
      </c>
      <c r="G94" s="1">
        <v>630</v>
      </c>
      <c r="H94" s="1" t="s">
        <v>13</v>
      </c>
      <c r="I94" s="1" t="s">
        <v>19</v>
      </c>
      <c r="J94" s="1" t="s">
        <v>15</v>
      </c>
      <c r="K94" s="2">
        <v>44976</v>
      </c>
      <c r="L94" s="2">
        <v>44978</v>
      </c>
      <c r="M94" s="2"/>
      <c r="N94" t="str">
        <f t="shared" si="4"/>
        <v>Delivered</v>
      </c>
      <c r="O94">
        <f t="shared" si="5"/>
        <v>2</v>
      </c>
      <c r="P94" t="str">
        <f t="shared" si="6"/>
        <v>Fast</v>
      </c>
      <c r="Q94" t="str">
        <f>_xlfn.XLOOKUP(Orders!B94,'Customer Master'!$A$1:$A$50,'Customer Master'!$B$1:$B$50)</f>
        <v>Ethan Davis</v>
      </c>
      <c r="R94" t="str">
        <f>_xlfn.XLOOKUP(Orders!C94,'Product Master'!$A$1:$A$23,'Product Master'!$C$1:$C$23)</f>
        <v>Home</v>
      </c>
      <c r="S94" t="str">
        <f>_xlfn.XLOOKUP(C94,'Product Master'!$A$1:$A$23,'Product Master'!$B$1:$B$23)</f>
        <v>Cookware Set Pro</v>
      </c>
      <c r="T94">
        <f t="shared" si="7"/>
        <v>630</v>
      </c>
    </row>
    <row r="95" spans="1:20" x14ac:dyDescent="0.3">
      <c r="A95" s="1" t="s">
        <v>188</v>
      </c>
      <c r="B95" s="1" t="s">
        <v>70</v>
      </c>
      <c r="C95" s="1" t="s">
        <v>50</v>
      </c>
      <c r="D95" s="1" t="s">
        <v>12</v>
      </c>
      <c r="E95" s="1">
        <v>62</v>
      </c>
      <c r="F95" s="1">
        <v>2</v>
      </c>
      <c r="G95" s="1">
        <v>124</v>
      </c>
      <c r="H95" s="1" t="s">
        <v>18</v>
      </c>
      <c r="I95" s="1" t="s">
        <v>14</v>
      </c>
      <c r="J95" s="1" t="s">
        <v>37</v>
      </c>
      <c r="K95" s="2">
        <v>45265</v>
      </c>
      <c r="L95" s="2"/>
      <c r="M95" s="2">
        <v>45272</v>
      </c>
      <c r="N95" t="str">
        <f t="shared" si="4"/>
        <v>Cancelled</v>
      </c>
      <c r="O95" t="str">
        <f t="shared" si="5"/>
        <v>NA</v>
      </c>
      <c r="P95" t="str">
        <f t="shared" si="6"/>
        <v>Cancelled</v>
      </c>
      <c r="Q95" t="str">
        <f>_xlfn.XLOOKUP(Orders!B95,'Customer Master'!$A$1:$A$50,'Customer Master'!$B$1:$B$50)</f>
        <v>Olivia Martinez</v>
      </c>
      <c r="R95" t="str">
        <f>_xlfn.XLOOKUP(Orders!C95,'Product Master'!$A$1:$A$23,'Product Master'!$C$1:$C$23)</f>
        <v>Toys</v>
      </c>
      <c r="S95" t="str">
        <f>_xlfn.XLOOKUP(C95,'Product Master'!$A$1:$A$23,'Product Master'!$B$1:$B$23)</f>
        <v>Leg Set</v>
      </c>
      <c r="T95">
        <f t="shared" si="7"/>
        <v>0</v>
      </c>
    </row>
    <row r="96" spans="1:20" x14ac:dyDescent="0.3">
      <c r="A96" s="1" t="s">
        <v>189</v>
      </c>
      <c r="B96" s="1" t="s">
        <v>179</v>
      </c>
      <c r="C96" s="1" t="s">
        <v>46</v>
      </c>
      <c r="D96" s="1" t="s">
        <v>21</v>
      </c>
      <c r="E96" s="1">
        <v>11</v>
      </c>
      <c r="F96" s="1">
        <v>5</v>
      </c>
      <c r="G96" s="1">
        <v>55</v>
      </c>
      <c r="H96" s="1" t="s">
        <v>31</v>
      </c>
      <c r="I96" s="1" t="s">
        <v>14</v>
      </c>
      <c r="J96" s="1" t="s">
        <v>27</v>
      </c>
      <c r="K96" s="2">
        <v>45084</v>
      </c>
      <c r="L96" s="2"/>
      <c r="M96" s="2">
        <v>45089</v>
      </c>
      <c r="N96" t="str">
        <f t="shared" si="4"/>
        <v>Cancelled</v>
      </c>
      <c r="O96" t="str">
        <f t="shared" si="5"/>
        <v>NA</v>
      </c>
      <c r="P96" t="str">
        <f t="shared" si="6"/>
        <v>Cancelled</v>
      </c>
      <c r="Q96" t="str">
        <f>_xlfn.XLOOKUP(Orders!B96,'Customer Master'!$A$1:$A$50,'Customer Master'!$B$1:$B$50)</f>
        <v>Lily Reed</v>
      </c>
      <c r="R96" t="str">
        <f>_xlfn.XLOOKUP(Orders!C96,'Product Master'!$A$1:$A$23,'Product Master'!$C$1:$C$23)</f>
        <v>Books</v>
      </c>
      <c r="S96" t="str">
        <f>_xlfn.XLOOKUP(C96,'Product Master'!$A$1:$A$23,'Product Master'!$B$1:$B$23)</f>
        <v>Magazine</v>
      </c>
      <c r="T96">
        <f t="shared" si="7"/>
        <v>0</v>
      </c>
    </row>
    <row r="97" spans="1:20" x14ac:dyDescent="0.3">
      <c r="A97" s="1" t="s">
        <v>190</v>
      </c>
      <c r="B97" s="1" t="s">
        <v>140</v>
      </c>
      <c r="C97" s="1" t="s">
        <v>41</v>
      </c>
      <c r="D97" s="1" t="s">
        <v>12</v>
      </c>
      <c r="E97" s="1">
        <v>21</v>
      </c>
      <c r="F97" s="1">
        <v>2</v>
      </c>
      <c r="G97" s="1">
        <v>42</v>
      </c>
      <c r="H97" s="1" t="s">
        <v>28</v>
      </c>
      <c r="I97" s="1" t="s">
        <v>19</v>
      </c>
      <c r="J97" s="1" t="s">
        <v>25</v>
      </c>
      <c r="K97" s="2">
        <v>45116</v>
      </c>
      <c r="L97" s="2">
        <v>45119</v>
      </c>
      <c r="M97" s="2"/>
      <c r="N97" t="str">
        <f t="shared" si="4"/>
        <v>Delivered</v>
      </c>
      <c r="O97">
        <f t="shared" si="5"/>
        <v>3</v>
      </c>
      <c r="P97" t="str">
        <f t="shared" si="6"/>
        <v>Slow</v>
      </c>
      <c r="Q97" t="str">
        <f>_xlfn.XLOOKUP(Orders!B97,'Customer Master'!$A$1:$A$50,'Customer Master'!$B$1:$B$50)</f>
        <v>Emma King</v>
      </c>
      <c r="R97" t="str">
        <f>_xlfn.XLOOKUP(Orders!C97,'Product Master'!$A$1:$A$23,'Product Master'!$C$1:$C$23)</f>
        <v>Books</v>
      </c>
      <c r="S97" t="str">
        <f>_xlfn.XLOOKUP(C97,'Product Master'!$A$1:$A$23,'Product Master'!$B$1:$B$23)</f>
        <v>Novel</v>
      </c>
      <c r="T97">
        <f t="shared" si="7"/>
        <v>42</v>
      </c>
    </row>
    <row r="98" spans="1:20" x14ac:dyDescent="0.3">
      <c r="A98" s="1" t="s">
        <v>191</v>
      </c>
      <c r="B98" s="1" t="s">
        <v>77</v>
      </c>
      <c r="C98" s="1" t="s">
        <v>16</v>
      </c>
      <c r="D98" s="1" t="s">
        <v>33</v>
      </c>
      <c r="E98" s="1">
        <v>95</v>
      </c>
      <c r="F98" s="1">
        <v>5</v>
      </c>
      <c r="G98" s="1">
        <v>475</v>
      </c>
      <c r="H98" s="1" t="s">
        <v>28</v>
      </c>
      <c r="I98" s="1" t="s">
        <v>19</v>
      </c>
      <c r="J98" s="1" t="s">
        <v>27</v>
      </c>
      <c r="K98" s="2">
        <v>45283</v>
      </c>
      <c r="L98" s="2">
        <v>45286</v>
      </c>
      <c r="M98" s="2"/>
      <c r="N98" t="str">
        <f t="shared" si="4"/>
        <v>Delivered</v>
      </c>
      <c r="O98">
        <f t="shared" si="5"/>
        <v>3</v>
      </c>
      <c r="P98" t="str">
        <f t="shared" si="6"/>
        <v>Slow</v>
      </c>
      <c r="Q98" t="str">
        <f>_xlfn.XLOOKUP(Orders!B98,'Customer Master'!$A$1:$A$50,'Customer Master'!$B$1:$B$50)</f>
        <v>Charlotte Reed</v>
      </c>
      <c r="R98" t="str">
        <f>_xlfn.XLOOKUP(Orders!C98,'Product Master'!$A$1:$A$23,'Product Master'!$C$1:$C$23)</f>
        <v>Toys</v>
      </c>
      <c r="S98" t="str">
        <f>_xlfn.XLOOKUP(C98,'Product Master'!$A$1:$A$23,'Product Master'!$B$1:$B$23)</f>
        <v>Doll House</v>
      </c>
      <c r="T98">
        <f t="shared" si="7"/>
        <v>475</v>
      </c>
    </row>
    <row r="99" spans="1:20" x14ac:dyDescent="0.3">
      <c r="A99" s="1" t="s">
        <v>192</v>
      </c>
      <c r="B99" s="1" t="s">
        <v>60</v>
      </c>
      <c r="C99" s="1" t="s">
        <v>48</v>
      </c>
      <c r="D99" s="1" t="s">
        <v>21</v>
      </c>
      <c r="E99" s="1">
        <v>215</v>
      </c>
      <c r="F99" s="1">
        <v>2</v>
      </c>
      <c r="G99" s="1">
        <v>430</v>
      </c>
      <c r="H99" s="1" t="s">
        <v>24</v>
      </c>
      <c r="I99" s="1" t="s">
        <v>19</v>
      </c>
      <c r="J99" s="1" t="s">
        <v>27</v>
      </c>
      <c r="K99" s="2">
        <v>45194</v>
      </c>
      <c r="L99" s="2">
        <v>45199</v>
      </c>
      <c r="M99" s="2"/>
      <c r="N99" t="str">
        <f t="shared" si="4"/>
        <v>Delivered</v>
      </c>
      <c r="O99">
        <f t="shared" si="5"/>
        <v>5</v>
      </c>
      <c r="P99" t="str">
        <f t="shared" si="6"/>
        <v>Slow</v>
      </c>
      <c r="Q99" t="str">
        <f>_xlfn.XLOOKUP(Orders!B99,'Customer Master'!$A$1:$A$50,'Customer Master'!$B$1:$B$50)</f>
        <v>Grace Ward</v>
      </c>
      <c r="R99" t="str">
        <f>_xlfn.XLOOKUP(Orders!C99,'Product Master'!$A$1:$A$23,'Product Master'!$C$1:$C$23)</f>
        <v>Home</v>
      </c>
      <c r="S99" t="str">
        <f>_xlfn.XLOOKUP(C99,'Product Master'!$A$1:$A$23,'Product Master'!$B$1:$B$23)</f>
        <v>Cookware Set Pro</v>
      </c>
      <c r="T99">
        <f t="shared" si="7"/>
        <v>430</v>
      </c>
    </row>
    <row r="100" spans="1:20" x14ac:dyDescent="0.3">
      <c r="A100" s="1" t="s">
        <v>193</v>
      </c>
      <c r="B100" s="1" t="s">
        <v>194</v>
      </c>
      <c r="C100" s="1" t="s">
        <v>34</v>
      </c>
      <c r="D100" s="1" t="s">
        <v>33</v>
      </c>
      <c r="E100" s="1">
        <v>43</v>
      </c>
      <c r="F100" s="1">
        <v>5</v>
      </c>
      <c r="G100" s="1">
        <v>215</v>
      </c>
      <c r="H100" s="1" t="s">
        <v>18</v>
      </c>
      <c r="I100" s="1" t="s">
        <v>14</v>
      </c>
      <c r="J100" s="1" t="s">
        <v>25</v>
      </c>
      <c r="K100" s="2">
        <v>44944</v>
      </c>
      <c r="L100" s="2"/>
      <c r="M100" s="2">
        <v>44950</v>
      </c>
      <c r="N100" t="str">
        <f t="shared" si="4"/>
        <v>Cancelled</v>
      </c>
      <c r="O100" t="str">
        <f t="shared" si="5"/>
        <v>NA</v>
      </c>
      <c r="P100" t="str">
        <f t="shared" si="6"/>
        <v>Cancelled</v>
      </c>
      <c r="Q100" t="str">
        <f>_xlfn.XLOOKUP(Orders!B100,'Customer Master'!$A$1:$A$50,'Customer Master'!$B$1:$B$50)</f>
        <v>Lily Simmons</v>
      </c>
      <c r="R100" t="str">
        <f>_xlfn.XLOOKUP(Orders!C100,'Product Master'!$A$1:$A$23,'Product Master'!$C$1:$C$23)</f>
        <v>Fashion</v>
      </c>
      <c r="S100" t="str">
        <f>_xlfn.XLOOKUP(C100,'Product Master'!$A$1:$A$23,'Product Master'!$B$1:$B$23)</f>
        <v>Formal Shirt</v>
      </c>
      <c r="T100">
        <f t="shared" si="7"/>
        <v>0</v>
      </c>
    </row>
    <row r="101" spans="1:20" x14ac:dyDescent="0.3">
      <c r="A101" s="1" t="s">
        <v>195</v>
      </c>
      <c r="B101" s="1" t="s">
        <v>64</v>
      </c>
      <c r="C101" s="1" t="s">
        <v>44</v>
      </c>
      <c r="D101" s="1" t="s">
        <v>33</v>
      </c>
      <c r="E101" s="1">
        <v>42</v>
      </c>
      <c r="F101" s="1">
        <v>4</v>
      </c>
      <c r="G101" s="1">
        <v>168</v>
      </c>
      <c r="H101" s="1" t="s">
        <v>31</v>
      </c>
      <c r="I101" s="1" t="s">
        <v>22</v>
      </c>
      <c r="J101" s="1" t="s">
        <v>15</v>
      </c>
      <c r="K101" s="2">
        <v>45012</v>
      </c>
      <c r="L101" s="2"/>
      <c r="M101" s="2"/>
      <c r="N101" t="str">
        <f t="shared" si="4"/>
        <v>Delivered</v>
      </c>
      <c r="O101" t="str">
        <f t="shared" si="5"/>
        <v>NA</v>
      </c>
      <c r="P101" t="str">
        <f t="shared" si="6"/>
        <v>Cancelled</v>
      </c>
      <c r="Q101" t="str">
        <f>_xlfn.XLOOKUP(Orders!B101,'Customer Master'!$A$1:$A$50,'Customer Master'!$B$1:$B$50)</f>
        <v>Jackson Allen</v>
      </c>
      <c r="R101" t="str">
        <f>_xlfn.XLOOKUP(Orders!C101,'Product Master'!$A$1:$A$23,'Product Master'!$C$1:$C$23)</f>
        <v>Toys</v>
      </c>
      <c r="S101" t="str">
        <f>_xlfn.XLOOKUP(C101,'Product Master'!$A$1:$A$23,'Product Master'!$B$1:$B$23)</f>
        <v>Action Figure</v>
      </c>
      <c r="T101">
        <f t="shared" si="7"/>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F8BD3-C2BD-488D-B896-0D603690AA21}">
  <dimension ref="A1:E23"/>
  <sheetViews>
    <sheetView workbookViewId="0">
      <selection activeCell="E28" sqref="E28"/>
    </sheetView>
  </sheetViews>
  <sheetFormatPr defaultRowHeight="14.4" x14ac:dyDescent="0.3"/>
  <cols>
    <col min="1" max="1" width="9.88671875" style="6" bestFit="1" customWidth="1"/>
    <col min="2" max="2" width="16.109375" style="6" bestFit="1" customWidth="1"/>
    <col min="3" max="3" width="9.88671875" style="6" bestFit="1" customWidth="1"/>
    <col min="4" max="4" width="9.21875" style="6" bestFit="1" customWidth="1"/>
    <col min="5" max="5" width="46.6640625" style="6" bestFit="1" customWidth="1"/>
    <col min="6" max="16384" width="8.88671875" style="6"/>
  </cols>
  <sheetData>
    <row r="1" spans="1:5" x14ac:dyDescent="0.3">
      <c r="A1" s="4" t="s">
        <v>0</v>
      </c>
      <c r="B1" s="4" t="s">
        <v>53</v>
      </c>
      <c r="C1" s="4" t="s">
        <v>196</v>
      </c>
      <c r="D1" s="5" t="s">
        <v>197</v>
      </c>
      <c r="E1" s="4" t="s">
        <v>198</v>
      </c>
    </row>
    <row r="2" spans="1:5" x14ac:dyDescent="0.3">
      <c r="A2" s="7" t="s">
        <v>43</v>
      </c>
      <c r="B2" s="7" t="s">
        <v>199</v>
      </c>
      <c r="C2" s="7" t="s">
        <v>200</v>
      </c>
      <c r="D2" s="8">
        <v>749</v>
      </c>
      <c r="E2" s="7" t="s">
        <v>201</v>
      </c>
    </row>
    <row r="3" spans="1:5" x14ac:dyDescent="0.3">
      <c r="A3" s="7" t="s">
        <v>44</v>
      </c>
      <c r="B3" s="7" t="s">
        <v>202</v>
      </c>
      <c r="C3" s="7" t="s">
        <v>203</v>
      </c>
      <c r="D3" s="8">
        <v>39</v>
      </c>
      <c r="E3" s="7" t="s">
        <v>204</v>
      </c>
    </row>
    <row r="4" spans="1:5" x14ac:dyDescent="0.3">
      <c r="A4" s="7" t="s">
        <v>35</v>
      </c>
      <c r="B4" s="7" t="s">
        <v>205</v>
      </c>
      <c r="C4" s="7" t="s">
        <v>206</v>
      </c>
      <c r="D4" s="8">
        <v>129</v>
      </c>
      <c r="E4" s="7" t="s">
        <v>207</v>
      </c>
    </row>
    <row r="5" spans="1:5" x14ac:dyDescent="0.3">
      <c r="A5" s="7" t="s">
        <v>50</v>
      </c>
      <c r="B5" s="7" t="s">
        <v>208</v>
      </c>
      <c r="C5" s="7" t="s">
        <v>203</v>
      </c>
      <c r="D5" s="8">
        <v>59</v>
      </c>
      <c r="E5" s="7" t="s">
        <v>209</v>
      </c>
    </row>
    <row r="6" spans="1:5" x14ac:dyDescent="0.3">
      <c r="A6" s="7" t="s">
        <v>40</v>
      </c>
      <c r="B6" s="7" t="s">
        <v>210</v>
      </c>
      <c r="C6" s="7" t="s">
        <v>211</v>
      </c>
      <c r="D6" s="8">
        <v>25</v>
      </c>
      <c r="E6" s="7" t="s">
        <v>212</v>
      </c>
    </row>
    <row r="7" spans="1:5" x14ac:dyDescent="0.3">
      <c r="A7" s="7" t="s">
        <v>38</v>
      </c>
      <c r="B7" s="7" t="s">
        <v>213</v>
      </c>
      <c r="C7" s="7" t="s">
        <v>211</v>
      </c>
      <c r="D7" s="8">
        <v>89</v>
      </c>
      <c r="E7" s="7" t="s">
        <v>214</v>
      </c>
    </row>
    <row r="8" spans="1:5" x14ac:dyDescent="0.3">
      <c r="A8" s="7" t="s">
        <v>49</v>
      </c>
      <c r="B8" s="7" t="s">
        <v>215</v>
      </c>
      <c r="C8" s="7" t="s">
        <v>203</v>
      </c>
      <c r="D8" s="8">
        <v>29</v>
      </c>
      <c r="E8" s="7" t="s">
        <v>216</v>
      </c>
    </row>
    <row r="9" spans="1:5" x14ac:dyDescent="0.3">
      <c r="A9" s="7" t="s">
        <v>42</v>
      </c>
      <c r="B9" s="7" t="s">
        <v>217</v>
      </c>
      <c r="C9" s="7" t="s">
        <v>218</v>
      </c>
      <c r="D9" s="8">
        <v>65</v>
      </c>
      <c r="E9" s="7" t="s">
        <v>219</v>
      </c>
    </row>
    <row r="10" spans="1:5" x14ac:dyDescent="0.3">
      <c r="A10" s="7" t="s">
        <v>46</v>
      </c>
      <c r="B10" s="7" t="s">
        <v>220</v>
      </c>
      <c r="C10" s="7" t="s">
        <v>218</v>
      </c>
      <c r="D10" s="8">
        <v>10</v>
      </c>
      <c r="E10" s="7" t="s">
        <v>221</v>
      </c>
    </row>
    <row r="11" spans="1:5" x14ac:dyDescent="0.3">
      <c r="A11" s="7" t="s">
        <v>26</v>
      </c>
      <c r="B11" s="7" t="s">
        <v>222</v>
      </c>
      <c r="C11" s="7" t="s">
        <v>211</v>
      </c>
      <c r="D11" s="8">
        <v>55</v>
      </c>
      <c r="E11" s="7" t="s">
        <v>223</v>
      </c>
    </row>
    <row r="12" spans="1:5" x14ac:dyDescent="0.3">
      <c r="A12" s="7" t="s">
        <v>47</v>
      </c>
      <c r="B12" s="7" t="s">
        <v>224</v>
      </c>
      <c r="C12" s="7" t="s">
        <v>200</v>
      </c>
      <c r="D12" s="8">
        <v>159</v>
      </c>
      <c r="E12" s="7" t="s">
        <v>225</v>
      </c>
    </row>
    <row r="13" spans="1:5" x14ac:dyDescent="0.3">
      <c r="A13" s="7" t="s">
        <v>11</v>
      </c>
      <c r="B13" s="7" t="s">
        <v>226</v>
      </c>
      <c r="C13" s="7" t="s">
        <v>206</v>
      </c>
      <c r="D13" s="8">
        <v>42</v>
      </c>
      <c r="E13" s="7" t="s">
        <v>227</v>
      </c>
    </row>
    <row r="14" spans="1:5" x14ac:dyDescent="0.3">
      <c r="A14" s="7" t="s">
        <v>20</v>
      </c>
      <c r="B14" s="7" t="s">
        <v>228</v>
      </c>
      <c r="C14" s="7" t="s">
        <v>206</v>
      </c>
      <c r="D14" s="8">
        <v>185</v>
      </c>
      <c r="E14" s="7" t="s">
        <v>229</v>
      </c>
    </row>
    <row r="15" spans="1:5" x14ac:dyDescent="0.3">
      <c r="A15" s="7" t="s">
        <v>36</v>
      </c>
      <c r="B15" s="7" t="s">
        <v>230</v>
      </c>
      <c r="C15" s="7" t="s">
        <v>200</v>
      </c>
      <c r="D15" s="8">
        <v>229</v>
      </c>
      <c r="E15" s="7" t="s">
        <v>231</v>
      </c>
    </row>
    <row r="16" spans="1:5" x14ac:dyDescent="0.3">
      <c r="A16" s="7" t="s">
        <v>41</v>
      </c>
      <c r="B16" s="7" t="s">
        <v>232</v>
      </c>
      <c r="C16" s="7" t="s">
        <v>218</v>
      </c>
      <c r="D16" s="8">
        <v>20</v>
      </c>
      <c r="E16" s="7" t="s">
        <v>233</v>
      </c>
    </row>
    <row r="17" spans="1:5" x14ac:dyDescent="0.3">
      <c r="A17" s="7" t="s">
        <v>48</v>
      </c>
      <c r="B17" s="7" t="s">
        <v>234</v>
      </c>
      <c r="C17" s="7" t="s">
        <v>206</v>
      </c>
      <c r="D17" s="8">
        <v>199</v>
      </c>
      <c r="E17" s="7" t="s">
        <v>235</v>
      </c>
    </row>
    <row r="18" spans="1:5" x14ac:dyDescent="0.3">
      <c r="A18" s="7" t="s">
        <v>39</v>
      </c>
      <c r="B18" s="7" t="s">
        <v>236</v>
      </c>
      <c r="C18" s="7" t="s">
        <v>200</v>
      </c>
      <c r="D18" s="8">
        <v>69</v>
      </c>
      <c r="E18" s="7" t="s">
        <v>237</v>
      </c>
    </row>
    <row r="19" spans="1:5" x14ac:dyDescent="0.3">
      <c r="A19" s="7" t="s">
        <v>16</v>
      </c>
      <c r="B19" s="7" t="s">
        <v>238</v>
      </c>
      <c r="C19" s="7" t="s">
        <v>203</v>
      </c>
      <c r="D19" s="8">
        <v>89</v>
      </c>
      <c r="E19" s="7" t="s">
        <v>239</v>
      </c>
    </row>
    <row r="20" spans="1:5" x14ac:dyDescent="0.3">
      <c r="A20" s="7" t="s">
        <v>34</v>
      </c>
      <c r="B20" s="7" t="s">
        <v>240</v>
      </c>
      <c r="C20" s="7" t="s">
        <v>211</v>
      </c>
      <c r="D20" s="8">
        <v>40</v>
      </c>
      <c r="E20" s="7" t="s">
        <v>241</v>
      </c>
    </row>
    <row r="21" spans="1:5" x14ac:dyDescent="0.3">
      <c r="A21" s="7" t="s">
        <v>29</v>
      </c>
      <c r="B21" s="7" t="s">
        <v>242</v>
      </c>
      <c r="C21" s="7" t="s">
        <v>200</v>
      </c>
      <c r="D21" s="8">
        <v>99</v>
      </c>
      <c r="E21" s="7" t="s">
        <v>243</v>
      </c>
    </row>
    <row r="22" spans="1:5" x14ac:dyDescent="0.3">
      <c r="A22" s="7" t="s">
        <v>32</v>
      </c>
      <c r="B22" s="7" t="s">
        <v>244</v>
      </c>
      <c r="C22" s="7" t="s">
        <v>206</v>
      </c>
      <c r="D22" s="8">
        <v>34</v>
      </c>
      <c r="E22" s="7" t="s">
        <v>245</v>
      </c>
    </row>
    <row r="23" spans="1:5" x14ac:dyDescent="0.3">
      <c r="A23" s="7" t="s">
        <v>45</v>
      </c>
      <c r="B23" s="7" t="s">
        <v>246</v>
      </c>
      <c r="C23" s="7" t="s">
        <v>211</v>
      </c>
      <c r="D23" s="8">
        <v>60</v>
      </c>
      <c r="E23" s="7" t="s">
        <v>247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FD3A4-D577-4BA3-8B29-52E93DB898F3}">
  <dimension ref="A1:B6"/>
  <sheetViews>
    <sheetView workbookViewId="0">
      <selection activeCell="H11" sqref="H11"/>
    </sheetView>
  </sheetViews>
  <sheetFormatPr defaultRowHeight="14.4" x14ac:dyDescent="0.3"/>
  <cols>
    <col min="1" max="1" width="6.88671875" bestFit="1" customWidth="1"/>
    <col min="2" max="2" width="11" bestFit="1" customWidth="1"/>
  </cols>
  <sheetData>
    <row r="1" spans="1:2" x14ac:dyDescent="0.3">
      <c r="A1" s="4" t="s">
        <v>1</v>
      </c>
      <c r="B1" s="4" t="s">
        <v>248</v>
      </c>
    </row>
    <row r="2" spans="1:2" x14ac:dyDescent="0.3">
      <c r="A2" s="7" t="s">
        <v>30</v>
      </c>
      <c r="B2" s="9">
        <v>97500</v>
      </c>
    </row>
    <row r="3" spans="1:2" x14ac:dyDescent="0.3">
      <c r="A3" s="7" t="s">
        <v>17</v>
      </c>
      <c r="B3" s="9">
        <v>50500</v>
      </c>
    </row>
    <row r="4" spans="1:2" x14ac:dyDescent="0.3">
      <c r="A4" s="7" t="s">
        <v>12</v>
      </c>
      <c r="B4" s="9">
        <v>105000</v>
      </c>
    </row>
    <row r="5" spans="1:2" x14ac:dyDescent="0.3">
      <c r="A5" s="7" t="s">
        <v>21</v>
      </c>
      <c r="B5" s="9">
        <v>91500</v>
      </c>
    </row>
    <row r="6" spans="1:2" x14ac:dyDescent="0.3">
      <c r="A6" s="7" t="s">
        <v>33</v>
      </c>
      <c r="B6" s="9">
        <v>90750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91A0-A933-4404-91A8-49CC6EA368BA}">
  <dimension ref="A1:E50"/>
  <sheetViews>
    <sheetView topLeftCell="A24" workbookViewId="0">
      <selection activeCell="I12" sqref="I12"/>
    </sheetView>
  </sheetViews>
  <sheetFormatPr defaultRowHeight="14.4" x14ac:dyDescent="0.3"/>
  <cols>
    <col min="1" max="1" width="11.33203125" style="6" bestFit="1" customWidth="1"/>
    <col min="2" max="2" width="14.6640625" style="6" bestFit="1" customWidth="1"/>
    <col min="3" max="3" width="13.77734375" style="6" bestFit="1" customWidth="1"/>
    <col min="4" max="4" width="12" style="6" bestFit="1" customWidth="1"/>
    <col min="5" max="5" width="10.6640625" style="6" bestFit="1" customWidth="1"/>
    <col min="6" max="16384" width="8.88671875" style="6"/>
  </cols>
  <sheetData>
    <row r="1" spans="1:5" x14ac:dyDescent="0.3">
      <c r="A1" s="4" t="s">
        <v>52</v>
      </c>
      <c r="B1" s="4" t="s">
        <v>249</v>
      </c>
      <c r="C1" s="4" t="s">
        <v>250</v>
      </c>
      <c r="D1" s="4" t="s">
        <v>251</v>
      </c>
      <c r="E1" s="4" t="s">
        <v>252</v>
      </c>
    </row>
    <row r="2" spans="1:5" x14ac:dyDescent="0.3">
      <c r="A2" s="7" t="s">
        <v>122</v>
      </c>
      <c r="B2" s="7" t="s">
        <v>253</v>
      </c>
      <c r="C2" s="7" t="s">
        <v>254</v>
      </c>
      <c r="D2" s="7" t="s">
        <v>255</v>
      </c>
      <c r="E2" s="7" t="s">
        <v>255</v>
      </c>
    </row>
    <row r="3" spans="1:5" x14ac:dyDescent="0.3">
      <c r="A3" s="7" t="s">
        <v>256</v>
      </c>
      <c r="B3" s="7" t="s">
        <v>257</v>
      </c>
      <c r="C3" s="7" t="s">
        <v>258</v>
      </c>
      <c r="D3" s="7" t="s">
        <v>259</v>
      </c>
      <c r="E3" s="7" t="s">
        <v>260</v>
      </c>
    </row>
    <row r="4" spans="1:5" x14ac:dyDescent="0.3">
      <c r="A4" s="7" t="s">
        <v>144</v>
      </c>
      <c r="B4" s="7" t="s">
        <v>261</v>
      </c>
      <c r="C4" s="7" t="s">
        <v>258</v>
      </c>
      <c r="D4" s="7" t="s">
        <v>262</v>
      </c>
      <c r="E4" s="7" t="s">
        <v>263</v>
      </c>
    </row>
    <row r="5" spans="1:5" x14ac:dyDescent="0.3">
      <c r="A5" s="7" t="s">
        <v>151</v>
      </c>
      <c r="B5" s="7" t="s">
        <v>264</v>
      </c>
      <c r="C5" s="7" t="s">
        <v>258</v>
      </c>
      <c r="D5" s="7" t="s">
        <v>265</v>
      </c>
      <c r="E5" s="7" t="s">
        <v>266</v>
      </c>
    </row>
    <row r="6" spans="1:5" x14ac:dyDescent="0.3">
      <c r="A6" s="7" t="s">
        <v>267</v>
      </c>
      <c r="B6" s="7" t="s">
        <v>268</v>
      </c>
      <c r="C6" s="7" t="s">
        <v>258</v>
      </c>
      <c r="D6" s="7" t="s">
        <v>259</v>
      </c>
      <c r="E6" s="7" t="s">
        <v>260</v>
      </c>
    </row>
    <row r="7" spans="1:5" x14ac:dyDescent="0.3">
      <c r="A7" s="7" t="s">
        <v>120</v>
      </c>
      <c r="B7" s="7" t="s">
        <v>269</v>
      </c>
      <c r="C7" s="7" t="s">
        <v>258</v>
      </c>
      <c r="D7" s="7" t="s">
        <v>270</v>
      </c>
      <c r="E7" s="7" t="s">
        <v>271</v>
      </c>
    </row>
    <row r="8" spans="1:5" x14ac:dyDescent="0.3">
      <c r="A8" s="7" t="s">
        <v>103</v>
      </c>
      <c r="B8" s="7" t="s">
        <v>272</v>
      </c>
      <c r="C8" s="7" t="s">
        <v>258</v>
      </c>
      <c r="D8" s="7" t="s">
        <v>265</v>
      </c>
      <c r="E8" s="7" t="s">
        <v>266</v>
      </c>
    </row>
    <row r="9" spans="1:5" x14ac:dyDescent="0.3">
      <c r="A9" s="7" t="s">
        <v>105</v>
      </c>
      <c r="B9" s="7" t="s">
        <v>273</v>
      </c>
      <c r="C9" s="7" t="s">
        <v>254</v>
      </c>
      <c r="D9" s="7" t="s">
        <v>274</v>
      </c>
      <c r="E9" s="7" t="s">
        <v>263</v>
      </c>
    </row>
    <row r="10" spans="1:5" x14ac:dyDescent="0.3">
      <c r="A10" s="7" t="s">
        <v>64</v>
      </c>
      <c r="B10" s="7" t="s">
        <v>275</v>
      </c>
      <c r="C10" s="7" t="s">
        <v>254</v>
      </c>
      <c r="D10" s="7" t="s">
        <v>259</v>
      </c>
      <c r="E10" s="7" t="s">
        <v>260</v>
      </c>
    </row>
    <row r="11" spans="1:5" x14ac:dyDescent="0.3">
      <c r="A11" s="7" t="s">
        <v>276</v>
      </c>
      <c r="B11" s="7" t="s">
        <v>277</v>
      </c>
      <c r="C11" s="7" t="s">
        <v>258</v>
      </c>
      <c r="D11" s="7" t="s">
        <v>270</v>
      </c>
      <c r="E11" s="7" t="s">
        <v>271</v>
      </c>
    </row>
    <row r="12" spans="1:5" x14ac:dyDescent="0.3">
      <c r="A12" s="7" t="s">
        <v>85</v>
      </c>
      <c r="B12" s="7" t="s">
        <v>278</v>
      </c>
      <c r="C12" s="7" t="s">
        <v>254</v>
      </c>
      <c r="D12" s="7" t="s">
        <v>279</v>
      </c>
      <c r="E12" s="7" t="s">
        <v>280</v>
      </c>
    </row>
    <row r="13" spans="1:5" x14ac:dyDescent="0.3">
      <c r="A13" s="7" t="s">
        <v>281</v>
      </c>
      <c r="B13" s="7" t="s">
        <v>253</v>
      </c>
      <c r="C13" s="7" t="s">
        <v>282</v>
      </c>
      <c r="D13" s="7" t="s">
        <v>283</v>
      </c>
      <c r="E13" s="7" t="s">
        <v>284</v>
      </c>
    </row>
    <row r="14" spans="1:5" x14ac:dyDescent="0.3">
      <c r="A14" s="7" t="s">
        <v>70</v>
      </c>
      <c r="B14" s="7" t="s">
        <v>268</v>
      </c>
      <c r="C14" s="7" t="s">
        <v>258</v>
      </c>
      <c r="D14" s="7" t="s">
        <v>259</v>
      </c>
      <c r="E14" s="7" t="s">
        <v>260</v>
      </c>
    </row>
    <row r="15" spans="1:5" x14ac:dyDescent="0.3">
      <c r="A15" s="7" t="s">
        <v>107</v>
      </c>
      <c r="B15" s="7" t="s">
        <v>273</v>
      </c>
      <c r="C15" s="7" t="s">
        <v>282</v>
      </c>
      <c r="D15" s="7" t="s">
        <v>270</v>
      </c>
      <c r="E15" s="7" t="s">
        <v>271</v>
      </c>
    </row>
    <row r="16" spans="1:5" x14ac:dyDescent="0.3">
      <c r="A16" s="7" t="s">
        <v>175</v>
      </c>
      <c r="B16" s="7" t="s">
        <v>285</v>
      </c>
      <c r="C16" s="7" t="s">
        <v>282</v>
      </c>
      <c r="D16" s="7" t="s">
        <v>283</v>
      </c>
      <c r="E16" s="7" t="s">
        <v>284</v>
      </c>
    </row>
    <row r="17" spans="1:5" x14ac:dyDescent="0.3">
      <c r="A17" s="7" t="s">
        <v>93</v>
      </c>
      <c r="B17" s="7" t="s">
        <v>286</v>
      </c>
      <c r="C17" s="7" t="s">
        <v>258</v>
      </c>
      <c r="D17" s="7" t="s">
        <v>283</v>
      </c>
      <c r="E17" s="7" t="s">
        <v>284</v>
      </c>
    </row>
    <row r="18" spans="1:5" x14ac:dyDescent="0.3">
      <c r="A18" s="7" t="s">
        <v>140</v>
      </c>
      <c r="B18" s="7" t="s">
        <v>287</v>
      </c>
      <c r="C18" s="7" t="s">
        <v>254</v>
      </c>
      <c r="D18" s="7" t="s">
        <v>262</v>
      </c>
      <c r="E18" s="7" t="s">
        <v>263</v>
      </c>
    </row>
    <row r="19" spans="1:5" x14ac:dyDescent="0.3">
      <c r="A19" s="7" t="s">
        <v>100</v>
      </c>
      <c r="B19" s="7" t="s">
        <v>288</v>
      </c>
      <c r="C19" s="7" t="s">
        <v>282</v>
      </c>
      <c r="D19" s="7" t="s">
        <v>279</v>
      </c>
      <c r="E19" s="7" t="s">
        <v>280</v>
      </c>
    </row>
    <row r="20" spans="1:5" x14ac:dyDescent="0.3">
      <c r="A20" s="7" t="s">
        <v>68</v>
      </c>
      <c r="B20" s="7" t="s">
        <v>269</v>
      </c>
      <c r="C20" s="7" t="s">
        <v>258</v>
      </c>
      <c r="D20" s="7" t="s">
        <v>259</v>
      </c>
      <c r="E20" s="7" t="s">
        <v>260</v>
      </c>
    </row>
    <row r="21" spans="1:5" x14ac:dyDescent="0.3">
      <c r="A21" s="7" t="s">
        <v>289</v>
      </c>
      <c r="B21" s="7" t="s">
        <v>290</v>
      </c>
      <c r="C21" s="7" t="s">
        <v>282</v>
      </c>
      <c r="D21" s="7" t="s">
        <v>270</v>
      </c>
      <c r="E21" s="7" t="s">
        <v>271</v>
      </c>
    </row>
    <row r="22" spans="1:5" x14ac:dyDescent="0.3">
      <c r="A22" s="7" t="s">
        <v>55</v>
      </c>
      <c r="B22" s="7" t="s">
        <v>291</v>
      </c>
      <c r="C22" s="7" t="s">
        <v>282</v>
      </c>
      <c r="D22" s="7" t="s">
        <v>262</v>
      </c>
      <c r="E22" s="7" t="s">
        <v>263</v>
      </c>
    </row>
    <row r="23" spans="1:5" x14ac:dyDescent="0.3">
      <c r="A23" s="7" t="s">
        <v>149</v>
      </c>
      <c r="B23" s="7" t="s">
        <v>286</v>
      </c>
      <c r="C23" s="7" t="s">
        <v>282</v>
      </c>
      <c r="D23" s="7" t="s">
        <v>279</v>
      </c>
      <c r="E23" s="7" t="s">
        <v>280</v>
      </c>
    </row>
    <row r="24" spans="1:5" x14ac:dyDescent="0.3">
      <c r="A24" s="7" t="s">
        <v>77</v>
      </c>
      <c r="B24" s="7" t="s">
        <v>292</v>
      </c>
      <c r="C24" s="7" t="s">
        <v>282</v>
      </c>
      <c r="D24" s="7" t="s">
        <v>262</v>
      </c>
      <c r="E24" s="7" t="s">
        <v>263</v>
      </c>
    </row>
    <row r="25" spans="1:5" x14ac:dyDescent="0.3">
      <c r="A25" s="7" t="s">
        <v>118</v>
      </c>
      <c r="B25" s="7" t="s">
        <v>293</v>
      </c>
      <c r="C25" s="7" t="s">
        <v>254</v>
      </c>
      <c r="D25" s="7" t="s">
        <v>279</v>
      </c>
      <c r="E25" s="7" t="s">
        <v>280</v>
      </c>
    </row>
    <row r="26" spans="1:5" x14ac:dyDescent="0.3">
      <c r="A26" s="7" t="s">
        <v>89</v>
      </c>
      <c r="B26" s="7" t="s">
        <v>287</v>
      </c>
      <c r="C26" s="7" t="s">
        <v>282</v>
      </c>
      <c r="D26" s="7" t="s">
        <v>279</v>
      </c>
      <c r="E26" s="7" t="s">
        <v>280</v>
      </c>
    </row>
    <row r="27" spans="1:5" x14ac:dyDescent="0.3">
      <c r="A27" s="7" t="s">
        <v>132</v>
      </c>
      <c r="B27" s="7" t="s">
        <v>291</v>
      </c>
      <c r="C27" s="7" t="s">
        <v>282</v>
      </c>
      <c r="D27" s="7" t="s">
        <v>259</v>
      </c>
      <c r="E27" s="7" t="s">
        <v>260</v>
      </c>
    </row>
    <row r="28" spans="1:5" x14ac:dyDescent="0.3">
      <c r="A28" s="7" t="s">
        <v>62</v>
      </c>
      <c r="B28" s="7" t="s">
        <v>294</v>
      </c>
      <c r="C28" s="7" t="s">
        <v>282</v>
      </c>
      <c r="D28" s="7" t="s">
        <v>259</v>
      </c>
      <c r="E28" s="7" t="s">
        <v>260</v>
      </c>
    </row>
    <row r="29" spans="1:5" x14ac:dyDescent="0.3">
      <c r="A29" s="7" t="s">
        <v>95</v>
      </c>
      <c r="B29" s="7" t="s">
        <v>295</v>
      </c>
      <c r="C29" s="7" t="s">
        <v>254</v>
      </c>
      <c r="D29" s="7" t="s">
        <v>262</v>
      </c>
      <c r="E29" s="7" t="s">
        <v>263</v>
      </c>
    </row>
    <row r="30" spans="1:5" x14ac:dyDescent="0.3">
      <c r="A30" s="7" t="s">
        <v>57</v>
      </c>
      <c r="B30" s="7" t="s">
        <v>285</v>
      </c>
      <c r="C30" s="7" t="s">
        <v>282</v>
      </c>
      <c r="D30" s="7" t="s">
        <v>279</v>
      </c>
      <c r="E30" s="7" t="s">
        <v>280</v>
      </c>
    </row>
    <row r="31" spans="1:5" x14ac:dyDescent="0.3">
      <c r="A31" s="7" t="s">
        <v>296</v>
      </c>
      <c r="B31" s="7" t="s">
        <v>287</v>
      </c>
      <c r="C31" s="7" t="s">
        <v>282</v>
      </c>
      <c r="D31" s="7" t="s">
        <v>259</v>
      </c>
      <c r="E31" s="7" t="s">
        <v>260</v>
      </c>
    </row>
    <row r="32" spans="1:5" x14ac:dyDescent="0.3">
      <c r="A32" s="7" t="s">
        <v>184</v>
      </c>
      <c r="B32" s="7" t="s">
        <v>297</v>
      </c>
      <c r="C32" s="7" t="s">
        <v>254</v>
      </c>
      <c r="D32" s="7" t="s">
        <v>259</v>
      </c>
      <c r="E32" s="7" t="s">
        <v>260</v>
      </c>
    </row>
    <row r="33" spans="1:5" x14ac:dyDescent="0.3">
      <c r="A33" s="7" t="s">
        <v>113</v>
      </c>
      <c r="B33" s="7" t="s">
        <v>298</v>
      </c>
      <c r="C33" s="7" t="s">
        <v>254</v>
      </c>
      <c r="D33" s="7" t="s">
        <v>262</v>
      </c>
      <c r="E33" s="7" t="s">
        <v>263</v>
      </c>
    </row>
    <row r="34" spans="1:5" x14ac:dyDescent="0.3">
      <c r="A34" s="7" t="s">
        <v>79</v>
      </c>
      <c r="B34" s="7" t="s">
        <v>299</v>
      </c>
      <c r="C34" s="7" t="s">
        <v>254</v>
      </c>
      <c r="D34" s="7" t="s">
        <v>283</v>
      </c>
      <c r="E34" s="7" t="s">
        <v>284</v>
      </c>
    </row>
    <row r="35" spans="1:5" x14ac:dyDescent="0.3">
      <c r="A35" s="7" t="s">
        <v>194</v>
      </c>
      <c r="B35" s="7" t="s">
        <v>300</v>
      </c>
      <c r="C35" s="7" t="s">
        <v>282</v>
      </c>
      <c r="D35" s="7" t="s">
        <v>283</v>
      </c>
      <c r="E35" s="7" t="s">
        <v>284</v>
      </c>
    </row>
    <row r="36" spans="1:5" x14ac:dyDescent="0.3">
      <c r="A36" s="7" t="s">
        <v>147</v>
      </c>
      <c r="B36" s="7" t="s">
        <v>301</v>
      </c>
      <c r="C36" s="7" t="s">
        <v>254</v>
      </c>
      <c r="D36" s="7" t="s">
        <v>279</v>
      </c>
      <c r="E36" s="7" t="s">
        <v>280</v>
      </c>
    </row>
    <row r="37" spans="1:5" x14ac:dyDescent="0.3">
      <c r="A37" s="7" t="s">
        <v>187</v>
      </c>
      <c r="B37" s="7" t="s">
        <v>261</v>
      </c>
      <c r="C37" s="7" t="s">
        <v>254</v>
      </c>
      <c r="D37" s="7" t="s">
        <v>270</v>
      </c>
      <c r="E37" s="7" t="s">
        <v>271</v>
      </c>
    </row>
    <row r="38" spans="1:5" x14ac:dyDescent="0.3">
      <c r="A38" s="7" t="s">
        <v>109</v>
      </c>
      <c r="B38" s="7" t="s">
        <v>257</v>
      </c>
      <c r="C38" s="7" t="s">
        <v>282</v>
      </c>
      <c r="D38" s="7" t="s">
        <v>279</v>
      </c>
      <c r="E38" s="7" t="s">
        <v>280</v>
      </c>
    </row>
    <row r="39" spans="1:5" x14ac:dyDescent="0.3">
      <c r="A39" s="7" t="s">
        <v>302</v>
      </c>
      <c r="B39" s="7" t="s">
        <v>303</v>
      </c>
      <c r="C39" s="7" t="s">
        <v>254</v>
      </c>
      <c r="D39" s="7" t="s">
        <v>262</v>
      </c>
      <c r="E39" s="7" t="s">
        <v>263</v>
      </c>
    </row>
    <row r="40" spans="1:5" x14ac:dyDescent="0.3">
      <c r="A40" s="7" t="s">
        <v>128</v>
      </c>
      <c r="B40" s="7" t="s">
        <v>304</v>
      </c>
      <c r="C40" s="7" t="s">
        <v>282</v>
      </c>
      <c r="D40" s="7" t="s">
        <v>262</v>
      </c>
      <c r="E40" s="7" t="s">
        <v>263</v>
      </c>
    </row>
    <row r="41" spans="1:5" x14ac:dyDescent="0.3">
      <c r="A41" s="7" t="s">
        <v>97</v>
      </c>
      <c r="B41" s="7" t="s">
        <v>305</v>
      </c>
      <c r="C41" s="7" t="s">
        <v>258</v>
      </c>
      <c r="D41" s="7" t="s">
        <v>262</v>
      </c>
      <c r="E41" s="7" t="s">
        <v>263</v>
      </c>
    </row>
    <row r="42" spans="1:5" x14ac:dyDescent="0.3">
      <c r="A42" s="7" t="s">
        <v>87</v>
      </c>
      <c r="B42" s="7" t="s">
        <v>306</v>
      </c>
      <c r="C42" s="7" t="s">
        <v>254</v>
      </c>
      <c r="D42" s="7" t="s">
        <v>262</v>
      </c>
      <c r="E42" s="7" t="s">
        <v>263</v>
      </c>
    </row>
    <row r="43" spans="1:5" x14ac:dyDescent="0.3">
      <c r="A43" s="7" t="s">
        <v>66</v>
      </c>
      <c r="B43" s="7" t="s">
        <v>264</v>
      </c>
      <c r="C43" s="7" t="s">
        <v>258</v>
      </c>
      <c r="D43" s="7" t="s">
        <v>262</v>
      </c>
      <c r="E43" s="7" t="s">
        <v>263</v>
      </c>
    </row>
    <row r="44" spans="1:5" x14ac:dyDescent="0.3">
      <c r="A44" s="7" t="s">
        <v>179</v>
      </c>
      <c r="B44" s="7" t="s">
        <v>307</v>
      </c>
      <c r="C44" s="7" t="s">
        <v>282</v>
      </c>
      <c r="D44" s="7" t="s">
        <v>259</v>
      </c>
      <c r="E44" s="7" t="s">
        <v>260</v>
      </c>
    </row>
    <row r="45" spans="1:5" x14ac:dyDescent="0.3">
      <c r="A45" s="7" t="s">
        <v>60</v>
      </c>
      <c r="B45" s="7" t="s">
        <v>308</v>
      </c>
      <c r="C45" s="7" t="s">
        <v>254</v>
      </c>
      <c r="D45" s="7" t="s">
        <v>283</v>
      </c>
      <c r="E45" s="7" t="s">
        <v>284</v>
      </c>
    </row>
    <row r="46" spans="1:5" x14ac:dyDescent="0.3">
      <c r="A46" s="7" t="s">
        <v>75</v>
      </c>
      <c r="B46" s="7" t="s">
        <v>257</v>
      </c>
      <c r="C46" s="7" t="s">
        <v>282</v>
      </c>
      <c r="D46" s="7" t="s">
        <v>262</v>
      </c>
      <c r="E46" s="7" t="s">
        <v>263</v>
      </c>
    </row>
    <row r="47" spans="1:5" x14ac:dyDescent="0.3">
      <c r="A47" s="7" t="s">
        <v>73</v>
      </c>
      <c r="B47" s="7" t="s">
        <v>257</v>
      </c>
      <c r="C47" s="7" t="s">
        <v>258</v>
      </c>
      <c r="D47" s="7" t="s">
        <v>270</v>
      </c>
      <c r="E47" s="7" t="s">
        <v>271</v>
      </c>
    </row>
    <row r="48" spans="1:5" x14ac:dyDescent="0.3">
      <c r="A48" s="7" t="s">
        <v>82</v>
      </c>
      <c r="B48" s="7" t="s">
        <v>293</v>
      </c>
      <c r="C48" s="7" t="s">
        <v>282</v>
      </c>
      <c r="D48" s="7" t="s">
        <v>270</v>
      </c>
      <c r="E48" s="7" t="s">
        <v>271</v>
      </c>
    </row>
    <row r="49" spans="1:5" x14ac:dyDescent="0.3">
      <c r="A49" s="7" t="s">
        <v>153</v>
      </c>
      <c r="B49" s="7" t="s">
        <v>264</v>
      </c>
      <c r="C49" s="7" t="s">
        <v>254</v>
      </c>
      <c r="D49" s="7" t="s">
        <v>270</v>
      </c>
      <c r="E49" s="7" t="s">
        <v>271</v>
      </c>
    </row>
    <row r="50" spans="1:5" x14ac:dyDescent="0.3">
      <c r="A50" s="7" t="s">
        <v>309</v>
      </c>
      <c r="B50" s="7" t="s">
        <v>310</v>
      </c>
      <c r="C50" s="7" t="s">
        <v>254</v>
      </c>
      <c r="D50" s="7" t="s">
        <v>270</v>
      </c>
      <c r="E50" s="7" t="s">
        <v>271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Sheet1</vt:lpstr>
      <vt:lpstr>Sheet2</vt:lpstr>
      <vt:lpstr>Sheet3</vt:lpstr>
      <vt:lpstr>Sheet4</vt:lpstr>
      <vt:lpstr>Sheet6</vt:lpstr>
      <vt:lpstr>sales by region</vt:lpstr>
      <vt:lpstr>sale by product catagory</vt:lpstr>
      <vt:lpstr>order by delivery status</vt:lpstr>
      <vt:lpstr>Sheet12</vt:lpstr>
      <vt:lpstr>Sheet14</vt:lpstr>
      <vt:lpstr>Sheet15</vt:lpstr>
      <vt:lpstr>Sheet16</vt:lpstr>
      <vt:lpstr>Sheet17</vt:lpstr>
      <vt:lpstr>Orders</vt:lpstr>
      <vt:lpstr>Product Master</vt:lpstr>
      <vt:lpstr>Region Master</vt:lpstr>
      <vt:lpstr>Customer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thakkar</dc:creator>
  <cp:lastModifiedBy>priya sankar mandal</cp:lastModifiedBy>
  <dcterms:created xsi:type="dcterms:W3CDTF">2015-06-05T18:17:20Z</dcterms:created>
  <dcterms:modified xsi:type="dcterms:W3CDTF">2026-03-06T09:03:27Z</dcterms:modified>
</cp:coreProperties>
</file>